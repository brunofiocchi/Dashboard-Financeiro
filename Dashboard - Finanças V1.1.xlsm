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esktop\Development\"/>
    </mc:Choice>
  </mc:AlternateContent>
  <xr:revisionPtr revIDLastSave="0" documentId="13_ncr:1_{7B39BF27-6836-4C6B-BF6D-06FD5BFC4F55}" xr6:coauthVersionLast="47" xr6:coauthVersionMax="47" xr10:uidLastSave="{00000000-0000-0000-0000-000000000000}"/>
  <bookViews>
    <workbookView visibility="hidden" xWindow="-120" yWindow="-120" windowWidth="51840" windowHeight="21240" xr2:uid="{F36CDD1C-C5F6-4EF9-950D-01B2CFDDBDD5}"/>
  </bookViews>
  <sheets>
    <sheet name="Configurações" sheetId="1" r:id="rId1"/>
    <sheet name="Planejamento Orçamentário" sheetId="2" state="veryHidden" r:id="rId2"/>
    <sheet name="Acompanhamento" sheetId="3" state="veryHidden" r:id="rId3"/>
    <sheet name="Dashboard" sheetId="4" r:id="rId4"/>
    <sheet name="Cálculos" sheetId="5" r:id="rId5"/>
    <sheet name="Dados" sheetId="6" r:id="rId6"/>
    <sheet name="Base de Usuários" sheetId="7" state="veryHidden" r:id="rId7"/>
  </sheets>
  <definedNames>
    <definedName name="budget" localSheetId="3">Dashboard!$L1</definedName>
    <definedName name="budget_range" localSheetId="3">Dashboard!$Q1</definedName>
    <definedName name="budget_rank" localSheetId="3">Dashboard!$R1</definedName>
    <definedName name="cc_budget" localSheetId="4">Cálculos!$K1</definedName>
    <definedName name="cc_delta" localSheetId="4">Cálculos!$L1</definedName>
    <definedName name="cc_in_focus" localSheetId="4">Cálculos!$G1</definedName>
    <definedName name="cc_month_number" localSheetId="4">Cálculos!$F1</definedName>
    <definedName name="cc_show_remaining_budget" localSheetId="4">Cálculos!$I1</definedName>
    <definedName name="cc_show_type" localSheetId="4">Cálculos!$H1</definedName>
    <definedName name="cc_tracked" localSheetId="4">Cálculos!$J1</definedName>
    <definedName name="cc_type" localSheetId="4">Cálculos!$E1</definedName>
    <definedName name="comb_rank" localSheetId="3">Dashboard!$S1</definedName>
    <definedName name="comb_rank_norm" localSheetId="3">Dashboard!$U1</definedName>
    <definedName name="comb_rank_norm_run_range" localSheetId="3">Dashboard!$V1</definedName>
    <definedName name="comb_rank_range" localSheetId="3">Dashboard!$T1</definedName>
    <definedName name="comb_rank_unique" localSheetId="3">Dashboard!$W1</definedName>
    <definedName name="current_date">TODAY()</definedName>
    <definedName name="expenses_header_row">ROW(Saída[[#Headers],[Saída]])</definedName>
    <definedName name="expenses_max_row">MAX(ROW(Saída[]))</definedName>
    <definedName name="expenses_min_row">MIN(ROW(Saída[]))</definedName>
    <definedName name="expenses_total_row">ROW('Planejamento Orçamentário'!$C$36)</definedName>
    <definedName name="header_row_id" localSheetId="3">Dashboard!$D1</definedName>
    <definedName name="income_header_row">ROW(Entrada[[#Headers],[Entrada]])</definedName>
    <definedName name="income_max_row">MAX(ROW(Entrada[]))</definedName>
    <definedName name="income_min_row">MIN(ROW(Entrada[]))</definedName>
    <definedName name="income_total_row">ROW('Planejamento Orçamentário'!$C$20)</definedName>
    <definedName name="is_cat" localSheetId="3">Dashboard!$F1</definedName>
    <definedName name="is_empty" localSheetId="3">Dashboard!$H1</definedName>
    <definedName name="is_header" localSheetId="3">Dashboard!$E1</definedName>
    <definedName name="is_total" localSheetId="3">Dashboard!$G1</definedName>
    <definedName name="item" localSheetId="3">Dashboard!$J1</definedName>
    <definedName name="out_budget" localSheetId="3">Dashboard!$AA1</definedName>
    <definedName name="out_percentage_completed" localSheetId="3">Dashboard!$AB1</definedName>
    <definedName name="out_tracked" localSheetId="3">Dashboard!$Z1</definedName>
    <definedName name="row_id" localSheetId="3">Dashboard!$C1</definedName>
    <definedName name="savings_header_row">ROW(Investimento[[#Headers],[Investimento]])</definedName>
    <definedName name="savings_max_row">MAX(ROW(Investimento[]))</definedName>
    <definedName name="savings_min_row">MIN(ROW(Investimento[]))</definedName>
    <definedName name="savings_rate_calculation_type">Configurações!$E$22</definedName>
    <definedName name="savings_total_row">ROW('Planejamento Orçamentário'!$C$49)</definedName>
    <definedName name="selected_period">Cálculos!$E$20</definedName>
    <definedName name="selected_period_display">Cálculos!$E$21</definedName>
    <definedName name="selected_year">Cálculos!$E$19</definedName>
    <definedName name="shift_late_income_starting_day">Configurações!$E$18</definedName>
    <definedName name="shift_late_income_status">Configurações!$E$16</definedName>
    <definedName name="sort_max_row" localSheetId="3">Dashboard!$N1</definedName>
    <definedName name="sort_min_row" localSheetId="3">Dashboard!$M1</definedName>
    <definedName name="starting_year">Configurações!$E$8</definedName>
    <definedName name="tracked" localSheetId="3">Dashboard!$K1</definedName>
    <definedName name="tracked_range" localSheetId="3">Dashboard!$O1</definedName>
    <definedName name="tracked_rank" localSheetId="3">Dashboard!$P1</definedName>
    <definedName name="type" localSheetId="3">Dashboard!$I1</definedName>
  </definedNames>
  <calcPr calcId="191029"/>
</workbook>
</file>

<file path=xl/calcChain.xml><?xml version="1.0" encoding="utf-8"?>
<calcChain xmlns="http://schemas.openxmlformats.org/spreadsheetml/2006/main">
  <c r="I59" i="5" l="1"/>
  <c r="I60" i="5"/>
  <c r="I61" i="5"/>
  <c r="I63" i="5"/>
  <c r="I64" i="5"/>
  <c r="I65" i="5"/>
  <c r="I67" i="5"/>
  <c r="I68" i="5"/>
  <c r="I69" i="5"/>
  <c r="I71" i="5"/>
  <c r="I72" i="5"/>
  <c r="I73" i="5"/>
  <c r="I75" i="5"/>
  <c r="I76" i="5"/>
  <c r="I77" i="5"/>
  <c r="I79" i="5"/>
  <c r="I80" i="5"/>
  <c r="I81" i="5"/>
  <c r="I83" i="5"/>
  <c r="I84" i="5"/>
  <c r="I85" i="5"/>
  <c r="I87" i="5"/>
  <c r="I88" i="5"/>
  <c r="I89" i="5"/>
  <c r="I91" i="5"/>
  <c r="I92" i="5"/>
  <c r="I93" i="5"/>
  <c r="I95" i="5"/>
  <c r="I96" i="5"/>
  <c r="I97" i="5"/>
  <c r="I99" i="5"/>
  <c r="I100" i="5"/>
  <c r="I101" i="5"/>
  <c r="I56" i="5"/>
  <c r="I57" i="5"/>
  <c r="I55" i="5"/>
  <c r="H59" i="5"/>
  <c r="H60" i="5"/>
  <c r="H61" i="5"/>
  <c r="H63" i="5"/>
  <c r="H64" i="5"/>
  <c r="H65" i="5"/>
  <c r="H67" i="5"/>
  <c r="H68" i="5"/>
  <c r="H69" i="5"/>
  <c r="H71" i="5"/>
  <c r="H72" i="5"/>
  <c r="H73" i="5"/>
  <c r="H75" i="5"/>
  <c r="H76" i="5"/>
  <c r="H77" i="5"/>
  <c r="H79" i="5"/>
  <c r="H80" i="5"/>
  <c r="H81" i="5"/>
  <c r="H83" i="5"/>
  <c r="H84" i="5"/>
  <c r="H85" i="5"/>
  <c r="H87" i="5"/>
  <c r="H88" i="5"/>
  <c r="H89" i="5"/>
  <c r="H91" i="5"/>
  <c r="H92" i="5"/>
  <c r="H93" i="5"/>
  <c r="H95" i="5"/>
  <c r="H96" i="5"/>
  <c r="H97" i="5"/>
  <c r="H99" i="5"/>
  <c r="H100" i="5"/>
  <c r="H101" i="5"/>
  <c r="H57" i="5"/>
  <c r="H56" i="5"/>
  <c r="H55" i="5"/>
  <c r="F38" i="5"/>
  <c r="E38" i="5" s="1"/>
  <c r="AI19" i="4" s="1"/>
  <c r="F39" i="5"/>
  <c r="E39" i="5" s="1"/>
  <c r="AI20" i="4" s="1"/>
  <c r="AP35" i="4"/>
  <c r="AI35" i="4"/>
  <c r="AI22" i="4"/>
  <c r="H70" i="3"/>
  <c r="I70" i="3"/>
  <c r="H69" i="3"/>
  <c r="I69" i="3"/>
  <c r="H68" i="3"/>
  <c r="I68" i="3"/>
  <c r="H67" i="3"/>
  <c r="I67" i="3"/>
  <c r="H66" i="3"/>
  <c r="I66" i="3"/>
  <c r="H65" i="3"/>
  <c r="I65" i="3"/>
  <c r="H64" i="3"/>
  <c r="I64" i="3"/>
  <c r="H63" i="3"/>
  <c r="I63" i="3"/>
  <c r="H62" i="3"/>
  <c r="I62" i="3"/>
  <c r="H61" i="3"/>
  <c r="I61" i="3"/>
  <c r="H60" i="3"/>
  <c r="I60" i="3"/>
  <c r="H55" i="3"/>
  <c r="I55" i="3"/>
  <c r="H59" i="3"/>
  <c r="I59" i="3"/>
  <c r="H58" i="3"/>
  <c r="I58" i="3"/>
  <c r="H57" i="3"/>
  <c r="I57" i="3"/>
  <c r="H56" i="3"/>
  <c r="I56" i="3"/>
  <c r="H54" i="3"/>
  <c r="I54" i="3"/>
  <c r="H53" i="3"/>
  <c r="I53" i="3"/>
  <c r="H52" i="3"/>
  <c r="I52" i="3"/>
  <c r="H51" i="3"/>
  <c r="I51" i="3"/>
  <c r="H50" i="3"/>
  <c r="I50" i="3"/>
  <c r="H49" i="3"/>
  <c r="I49" i="3"/>
  <c r="H48" i="3"/>
  <c r="I48" i="3"/>
  <c r="H47" i="3"/>
  <c r="I47" i="3"/>
  <c r="H46" i="3"/>
  <c r="I46" i="3"/>
  <c r="H45" i="3"/>
  <c r="I45" i="3"/>
  <c r="H44" i="3"/>
  <c r="I44" i="3"/>
  <c r="H43" i="3"/>
  <c r="I43" i="3"/>
  <c r="H38" i="3"/>
  <c r="I38" i="3"/>
  <c r="H37" i="3"/>
  <c r="I37" i="3"/>
  <c r="H31" i="3"/>
  <c r="I31" i="3"/>
  <c r="H36" i="3"/>
  <c r="I36" i="3"/>
  <c r="H35" i="3"/>
  <c r="I35" i="3"/>
  <c r="H34" i="3"/>
  <c r="I34" i="3"/>
  <c r="H33" i="3"/>
  <c r="I33" i="3"/>
  <c r="H32" i="3"/>
  <c r="I32" i="3"/>
  <c r="H30" i="3"/>
  <c r="I30" i="3"/>
  <c r="H29" i="3"/>
  <c r="I29" i="3"/>
  <c r="H28" i="3"/>
  <c r="I28" i="3"/>
  <c r="H27" i="3"/>
  <c r="I27" i="3"/>
  <c r="H26" i="3"/>
  <c r="I26" i="3"/>
  <c r="H25" i="3"/>
  <c r="I25" i="3"/>
  <c r="H24" i="3"/>
  <c r="I24" i="3"/>
  <c r="H23" i="3"/>
  <c r="I23" i="3"/>
  <c r="H22" i="3"/>
  <c r="I22" i="3"/>
  <c r="H21" i="3"/>
  <c r="I21" i="3"/>
  <c r="H20" i="3"/>
  <c r="I20" i="3"/>
  <c r="H19" i="3"/>
  <c r="I19" i="3"/>
  <c r="H18" i="3"/>
  <c r="I18" i="3"/>
  <c r="H17" i="3"/>
  <c r="I17" i="3"/>
  <c r="H16" i="3"/>
  <c r="I16" i="3"/>
  <c r="H42" i="3"/>
  <c r="I42" i="3"/>
  <c r="H41" i="3"/>
  <c r="I41" i="3"/>
  <c r="H40" i="3"/>
  <c r="I40" i="3"/>
  <c r="H39" i="3"/>
  <c r="I39" i="3"/>
  <c r="G20" i="2"/>
  <c r="C13" i="4" l="1"/>
  <c r="G13" i="4" s="1"/>
  <c r="E20" i="5"/>
  <c r="E19" i="5"/>
  <c r="C9" i="6"/>
  <c r="C10" i="6" s="1"/>
  <c r="C11" i="6" s="1"/>
  <c r="C12" i="6" s="1"/>
  <c r="C13" i="6" s="1"/>
  <c r="C14" i="6" s="1"/>
  <c r="C15" i="6" s="1"/>
  <c r="C16" i="6" s="1"/>
  <c r="C17" i="6" s="1"/>
  <c r="C18" i="6" s="1"/>
  <c r="E12" i="5"/>
  <c r="E11" i="5"/>
  <c r="E9" i="5"/>
  <c r="E8" i="5"/>
  <c r="I12" i="3"/>
  <c r="I13" i="3"/>
  <c r="I14" i="3"/>
  <c r="I15" i="3"/>
  <c r="E10" i="5" l="1"/>
  <c r="H13" i="4"/>
  <c r="C14" i="4"/>
  <c r="J13" i="4"/>
  <c r="E13" i="4"/>
  <c r="D13" i="4" s="1"/>
  <c r="I13" i="4" s="1"/>
  <c r="E22" i="5"/>
  <c r="E23" i="5" s="1"/>
  <c r="E24" i="5" s="1"/>
  <c r="D83" i="5"/>
  <c r="D79" i="5"/>
  <c r="D75" i="5"/>
  <c r="D55" i="5"/>
  <c r="D71" i="5"/>
  <c r="D87" i="5"/>
  <c r="D99" i="5"/>
  <c r="D67" i="5"/>
  <c r="D95" i="5"/>
  <c r="D63" i="5"/>
  <c r="D91" i="5"/>
  <c r="D59" i="5"/>
  <c r="J90" i="5"/>
  <c r="J66" i="5"/>
  <c r="J62" i="5"/>
  <c r="J70" i="5"/>
  <c r="J78" i="5"/>
  <c r="J86" i="5"/>
  <c r="J94" i="5"/>
  <c r="J102" i="5"/>
  <c r="J82" i="5"/>
  <c r="J98" i="5"/>
  <c r="J58" i="5"/>
  <c r="J74" i="5"/>
  <c r="J14" i="4"/>
  <c r="E21" i="5"/>
  <c r="H12" i="3"/>
  <c r="H13" i="3"/>
  <c r="H14" i="3"/>
  <c r="H15" i="3"/>
  <c r="E13" i="5" s="1"/>
  <c r="E14" i="5" s="1"/>
  <c r="EM30" i="2"/>
  <c r="EM31" i="2"/>
  <c r="EM32" i="2"/>
  <c r="DY30" i="2"/>
  <c r="DY31" i="2"/>
  <c r="DY32" i="2"/>
  <c r="DK30" i="2"/>
  <c r="DK31" i="2"/>
  <c r="DK32" i="2"/>
  <c r="CW30" i="2"/>
  <c r="CW31" i="2"/>
  <c r="CW32" i="2"/>
  <c r="CI30" i="2"/>
  <c r="CI31" i="2"/>
  <c r="CI32" i="2"/>
  <c r="BU30" i="2"/>
  <c r="BU31" i="2"/>
  <c r="BU32" i="2"/>
  <c r="BG30" i="2"/>
  <c r="BG31" i="2"/>
  <c r="BG32" i="2"/>
  <c r="AS30" i="2"/>
  <c r="AS31" i="2"/>
  <c r="AS32" i="2"/>
  <c r="AE30" i="2"/>
  <c r="AE31" i="2"/>
  <c r="AE32" i="2"/>
  <c r="Q30" i="2"/>
  <c r="Q31" i="2"/>
  <c r="Q32" i="2"/>
  <c r="AC13" i="4" l="1"/>
  <c r="F13" i="4"/>
  <c r="O13" i="4" s="1"/>
  <c r="K13" i="4"/>
  <c r="L13" i="4"/>
  <c r="AD13" i="4"/>
  <c r="Z13" i="4"/>
  <c r="AB13" i="4"/>
  <c r="AA13" i="4"/>
  <c r="C15" i="4"/>
  <c r="J15" i="4" s="1"/>
  <c r="G14" i="4"/>
  <c r="E14" i="4"/>
  <c r="H14" i="4"/>
  <c r="Q13" i="4"/>
  <c r="F101" i="5"/>
  <c r="F99" i="5"/>
  <c r="F100" i="5"/>
  <c r="F69" i="5"/>
  <c r="F67" i="5"/>
  <c r="F68" i="5"/>
  <c r="F89" i="5"/>
  <c r="F87" i="5"/>
  <c r="F88" i="5"/>
  <c r="F71" i="5"/>
  <c r="F72" i="5"/>
  <c r="F73" i="5"/>
  <c r="F59" i="5"/>
  <c r="F60" i="5"/>
  <c r="F61" i="5"/>
  <c r="F57" i="5"/>
  <c r="F56" i="5"/>
  <c r="F55" i="5"/>
  <c r="F91" i="5"/>
  <c r="F92" i="5"/>
  <c r="F93" i="5"/>
  <c r="F75" i="5"/>
  <c r="F76" i="5"/>
  <c r="F77" i="5"/>
  <c r="F63" i="5"/>
  <c r="F64" i="5"/>
  <c r="F65" i="5"/>
  <c r="F80" i="5"/>
  <c r="F81" i="5"/>
  <c r="F79" i="5"/>
  <c r="F95" i="5"/>
  <c r="F96" i="5"/>
  <c r="F97" i="5"/>
  <c r="F83" i="5"/>
  <c r="F84" i="5"/>
  <c r="F85" i="5"/>
  <c r="Y11" i="4"/>
  <c r="AF11" i="4"/>
  <c r="EM48" i="2"/>
  <c r="DY48" i="2"/>
  <c r="DK48" i="2"/>
  <c r="CW48" i="2"/>
  <c r="CI48" i="2"/>
  <c r="BU48" i="2"/>
  <c r="BG48" i="2"/>
  <c r="AS48" i="2"/>
  <c r="EM47" i="2"/>
  <c r="DY47" i="2"/>
  <c r="DK47" i="2"/>
  <c r="CW47" i="2"/>
  <c r="CI47" i="2"/>
  <c r="BU47" i="2"/>
  <c r="BG47" i="2"/>
  <c r="AS47" i="2"/>
  <c r="EM46" i="2"/>
  <c r="DY46" i="2"/>
  <c r="DK46" i="2"/>
  <c r="CW46" i="2"/>
  <c r="CI46" i="2"/>
  <c r="BU46" i="2"/>
  <c r="BG46" i="2"/>
  <c r="AS46" i="2"/>
  <c r="EM45" i="2"/>
  <c r="DY45" i="2"/>
  <c r="DK45" i="2"/>
  <c r="CW45" i="2"/>
  <c r="CI45" i="2"/>
  <c r="BU45" i="2"/>
  <c r="BG45" i="2"/>
  <c r="AS45" i="2"/>
  <c r="EM44" i="2"/>
  <c r="DY44" i="2"/>
  <c r="DK44" i="2"/>
  <c r="CW44" i="2"/>
  <c r="CI44" i="2"/>
  <c r="BU44" i="2"/>
  <c r="BG44" i="2"/>
  <c r="AS44" i="2"/>
  <c r="EM43" i="2"/>
  <c r="DY43" i="2"/>
  <c r="DK43" i="2"/>
  <c r="CW43" i="2"/>
  <c r="CI43" i="2"/>
  <c r="BU43" i="2"/>
  <c r="BG43" i="2"/>
  <c r="AS43" i="2"/>
  <c r="EM42" i="2"/>
  <c r="DY42" i="2"/>
  <c r="DK42" i="2"/>
  <c r="CW42" i="2"/>
  <c r="CI42" i="2"/>
  <c r="BU42" i="2"/>
  <c r="BG42" i="2"/>
  <c r="AS42" i="2"/>
  <c r="EM41" i="2"/>
  <c r="DY41" i="2"/>
  <c r="DK41" i="2"/>
  <c r="CW41" i="2"/>
  <c r="CI41" i="2"/>
  <c r="BU41" i="2"/>
  <c r="BG41" i="2"/>
  <c r="AS41" i="2"/>
  <c r="EM40" i="2"/>
  <c r="DY40" i="2"/>
  <c r="DK40" i="2"/>
  <c r="CW40" i="2"/>
  <c r="CI40" i="2"/>
  <c r="BU40" i="2"/>
  <c r="BG40" i="2"/>
  <c r="AS40" i="2"/>
  <c r="EM39" i="2"/>
  <c r="DY39" i="2"/>
  <c r="DK39" i="2"/>
  <c r="CW39" i="2"/>
  <c r="CI39" i="2"/>
  <c r="BU39" i="2"/>
  <c r="BG39" i="2"/>
  <c r="AS39" i="2"/>
  <c r="EM35" i="2"/>
  <c r="DY35" i="2"/>
  <c r="DK35" i="2"/>
  <c r="CW35" i="2"/>
  <c r="CI35" i="2"/>
  <c r="BU35" i="2"/>
  <c r="BG35" i="2"/>
  <c r="AS35" i="2"/>
  <c r="EM34" i="2"/>
  <c r="DY34" i="2"/>
  <c r="DK34" i="2"/>
  <c r="CW34" i="2"/>
  <c r="CI34" i="2"/>
  <c r="BU34" i="2"/>
  <c r="BG34" i="2"/>
  <c r="AS34" i="2"/>
  <c r="EM33" i="2"/>
  <c r="DY33" i="2"/>
  <c r="DK33" i="2"/>
  <c r="CW33" i="2"/>
  <c r="CI33" i="2"/>
  <c r="BU33" i="2"/>
  <c r="BG33" i="2"/>
  <c r="AS33" i="2"/>
  <c r="EM29" i="2"/>
  <c r="DY29" i="2"/>
  <c r="DK29" i="2"/>
  <c r="CW29" i="2"/>
  <c r="CI29" i="2"/>
  <c r="BU29" i="2"/>
  <c r="BG29" i="2"/>
  <c r="AS29" i="2"/>
  <c r="EM28" i="2"/>
  <c r="DY28" i="2"/>
  <c r="DK28" i="2"/>
  <c r="CW28" i="2"/>
  <c r="CI28" i="2"/>
  <c r="BU28" i="2"/>
  <c r="BG28" i="2"/>
  <c r="AS28" i="2"/>
  <c r="EM27" i="2"/>
  <c r="DY27" i="2"/>
  <c r="DK27" i="2"/>
  <c r="CW27" i="2"/>
  <c r="CI27" i="2"/>
  <c r="BU27" i="2"/>
  <c r="BG27" i="2"/>
  <c r="AS27" i="2"/>
  <c r="EM26" i="2"/>
  <c r="DY26" i="2"/>
  <c r="DK26" i="2"/>
  <c r="CW26" i="2"/>
  <c r="CI26" i="2"/>
  <c r="BU26" i="2"/>
  <c r="BG26" i="2"/>
  <c r="AS26" i="2"/>
  <c r="EM25" i="2"/>
  <c r="DY25" i="2"/>
  <c r="DK25" i="2"/>
  <c r="CW25" i="2"/>
  <c r="CI25" i="2"/>
  <c r="BU25" i="2"/>
  <c r="BG25" i="2"/>
  <c r="AS25" i="2"/>
  <c r="EM24" i="2"/>
  <c r="DY24" i="2"/>
  <c r="DK24" i="2"/>
  <c r="CW24" i="2"/>
  <c r="CI24" i="2"/>
  <c r="BU24" i="2"/>
  <c r="BG24" i="2"/>
  <c r="AS24" i="2"/>
  <c r="EM23" i="2"/>
  <c r="DY23" i="2"/>
  <c r="DK23" i="2"/>
  <c r="CW23" i="2"/>
  <c r="CI23" i="2"/>
  <c r="BU23" i="2"/>
  <c r="BG23" i="2"/>
  <c r="AS23" i="2"/>
  <c r="EM19" i="2"/>
  <c r="DY19" i="2"/>
  <c r="DK19" i="2"/>
  <c r="CW19" i="2"/>
  <c r="CI19" i="2"/>
  <c r="BU19" i="2"/>
  <c r="BG19" i="2"/>
  <c r="AS19" i="2"/>
  <c r="EM18" i="2"/>
  <c r="DY18" i="2"/>
  <c r="DK18" i="2"/>
  <c r="CW18" i="2"/>
  <c r="CI18" i="2"/>
  <c r="BU18" i="2"/>
  <c r="BG18" i="2"/>
  <c r="AS18" i="2"/>
  <c r="EM17" i="2"/>
  <c r="DY17" i="2"/>
  <c r="DK17" i="2"/>
  <c r="CW17" i="2"/>
  <c r="CI17" i="2"/>
  <c r="BU17" i="2"/>
  <c r="BG17" i="2"/>
  <c r="AS17" i="2"/>
  <c r="EM16" i="2"/>
  <c r="DY16" i="2"/>
  <c r="DK16" i="2"/>
  <c r="CW16" i="2"/>
  <c r="CI16" i="2"/>
  <c r="BU16" i="2"/>
  <c r="BG16" i="2"/>
  <c r="AS16" i="2"/>
  <c r="EM15" i="2"/>
  <c r="DY15" i="2"/>
  <c r="DK15" i="2"/>
  <c r="CW15" i="2"/>
  <c r="CI15" i="2"/>
  <c r="BU15" i="2"/>
  <c r="BG15" i="2"/>
  <c r="AS15" i="2"/>
  <c r="EM14" i="2"/>
  <c r="DY14" i="2"/>
  <c r="DK14" i="2"/>
  <c r="CW14" i="2"/>
  <c r="CI14" i="2"/>
  <c r="BU14" i="2"/>
  <c r="BG14" i="2"/>
  <c r="AS14" i="2"/>
  <c r="EM13" i="2"/>
  <c r="DY13" i="2"/>
  <c r="DK13" i="2"/>
  <c r="CW13" i="2"/>
  <c r="CI13" i="2"/>
  <c r="BU13" i="2"/>
  <c r="BG13" i="2"/>
  <c r="AS13" i="2"/>
  <c r="EM12" i="2"/>
  <c r="DY12" i="2"/>
  <c r="DK12" i="2"/>
  <c r="CW12" i="2"/>
  <c r="CI12" i="2"/>
  <c r="BU12" i="2"/>
  <c r="BG12" i="2"/>
  <c r="AS12" i="2"/>
  <c r="EM11" i="2"/>
  <c r="DY11" i="2"/>
  <c r="DK11" i="2"/>
  <c r="CW11" i="2"/>
  <c r="CI11" i="2"/>
  <c r="BU11" i="2"/>
  <c r="BG11" i="2"/>
  <c r="AS11" i="2"/>
  <c r="EM10" i="2"/>
  <c r="DY10" i="2"/>
  <c r="DK10" i="2"/>
  <c r="CW10" i="2"/>
  <c r="CI10" i="2"/>
  <c r="BU10" i="2"/>
  <c r="BG10" i="2"/>
  <c r="AS10" i="2"/>
  <c r="AE48" i="2"/>
  <c r="AE47" i="2"/>
  <c r="AE46" i="2"/>
  <c r="AE45" i="2"/>
  <c r="AE44" i="2"/>
  <c r="AE43" i="2"/>
  <c r="AE42" i="2"/>
  <c r="AE41" i="2"/>
  <c r="AE40" i="2"/>
  <c r="AE39" i="2"/>
  <c r="AE35" i="2"/>
  <c r="AE34" i="2"/>
  <c r="AE33" i="2"/>
  <c r="AE29" i="2"/>
  <c r="AE28" i="2"/>
  <c r="AE27" i="2"/>
  <c r="AE26" i="2"/>
  <c r="AE25" i="2"/>
  <c r="AE24" i="2"/>
  <c r="AE23" i="2"/>
  <c r="AE19" i="2"/>
  <c r="AE18" i="2"/>
  <c r="AE17" i="2"/>
  <c r="AE16" i="2"/>
  <c r="AE15" i="2"/>
  <c r="AE14" i="2"/>
  <c r="AE13" i="2"/>
  <c r="AE12" i="2"/>
  <c r="AE11" i="2"/>
  <c r="AE10" i="2"/>
  <c r="Q48" i="2"/>
  <c r="Q47" i="2"/>
  <c r="Q46" i="2"/>
  <c r="Q45" i="2"/>
  <c r="Q44" i="2"/>
  <c r="Q43" i="2"/>
  <c r="Q42" i="2"/>
  <c r="Q41" i="2"/>
  <c r="Q40" i="2"/>
  <c r="Q39" i="2"/>
  <c r="Q35" i="2"/>
  <c r="Q34" i="2"/>
  <c r="Q33" i="2"/>
  <c r="Q29" i="2"/>
  <c r="Q28" i="2"/>
  <c r="Q27" i="2"/>
  <c r="Q26" i="2"/>
  <c r="Q25" i="2"/>
  <c r="Q24" i="2"/>
  <c r="Q23" i="2"/>
  <c r="BP36" i="2"/>
  <c r="AW49" i="2"/>
  <c r="CS20" i="2"/>
  <c r="I20" i="2"/>
  <c r="EF36" i="2"/>
  <c r="AK49" i="2"/>
  <c r="BS49" i="2"/>
  <c r="DR36" i="2"/>
  <c r="CD20" i="2"/>
  <c r="EL20" i="2"/>
  <c r="F36" i="2"/>
  <c r="DQ20" i="2"/>
  <c r="E49" i="2"/>
  <c r="DC36" i="2"/>
  <c r="AR36" i="2"/>
  <c r="BU36" i="2"/>
  <c r="V20" i="2"/>
  <c r="BL36" i="2"/>
  <c r="BY36" i="2"/>
  <c r="M49" i="2"/>
  <c r="DT49" i="2"/>
  <c r="EF49" i="2"/>
  <c r="AS20" i="2"/>
  <c r="EA49" i="2"/>
  <c r="AV20" i="2"/>
  <c r="AO36" i="2"/>
  <c r="K20" i="2"/>
  <c r="W36" i="2"/>
  <c r="T20" i="2"/>
  <c r="F20" i="2"/>
  <c r="CP36" i="2"/>
  <c r="BL20" i="2"/>
  <c r="AO20" i="2"/>
  <c r="CO20" i="2"/>
  <c r="EI36" i="2"/>
  <c r="DN20" i="2"/>
  <c r="BZ36" i="2"/>
  <c r="BA49" i="2"/>
  <c r="DS49" i="2"/>
  <c r="DD36" i="2"/>
  <c r="AQ20" i="2"/>
  <c r="BN36" i="2"/>
  <c r="BO36" i="2"/>
  <c r="DX49" i="2"/>
  <c r="EF20" i="2"/>
  <c r="EA36" i="2"/>
  <c r="DW49" i="2"/>
  <c r="DJ20" i="2"/>
  <c r="AA49" i="2"/>
  <c r="CV36" i="2"/>
  <c r="BN49" i="2"/>
  <c r="CF49" i="2"/>
  <c r="EJ36" i="2"/>
  <c r="CU20" i="2"/>
  <c r="DJ49" i="2"/>
  <c r="CQ20" i="2"/>
  <c r="DR20" i="2"/>
  <c r="AV49" i="2"/>
  <c r="BK36" i="2"/>
  <c r="L49" i="2"/>
  <c r="CY20" i="2"/>
  <c r="H20" i="2"/>
  <c r="BC36" i="2"/>
  <c r="CK36" i="2"/>
  <c r="EB49" i="2"/>
  <c r="BT36" i="2"/>
  <c r="P36" i="2"/>
  <c r="CP20" i="2"/>
  <c r="DP36" i="2"/>
  <c r="DC20" i="2"/>
  <c r="DP20" i="2"/>
  <c r="BF20" i="2"/>
  <c r="CN49" i="2"/>
  <c r="AM20" i="2"/>
  <c r="DE20" i="2"/>
  <c r="BB49" i="2"/>
  <c r="CZ36" i="2"/>
  <c r="EJ20" i="2"/>
  <c r="M20" i="2"/>
  <c r="BL49" i="2"/>
  <c r="G36" i="2"/>
  <c r="J49" i="2"/>
  <c r="AY36" i="2"/>
  <c r="BN20" i="2"/>
  <c r="DE49" i="2"/>
  <c r="CB36" i="2"/>
  <c r="H36" i="2"/>
  <c r="EL36" i="2"/>
  <c r="EK36" i="2"/>
  <c r="BP49" i="2"/>
  <c r="AN36" i="2"/>
  <c r="DJ36" i="2"/>
  <c r="DK20" i="2"/>
  <c r="BF36" i="2"/>
  <c r="AW20" i="2"/>
  <c r="DS20" i="2"/>
  <c r="BI36" i="2"/>
  <c r="CM49" i="2"/>
  <c r="DV49" i="2"/>
  <c r="CV20" i="2"/>
  <c r="CS36" i="2"/>
  <c r="DS36" i="2"/>
  <c r="O49" i="2"/>
  <c r="AN49" i="2"/>
  <c r="CL36" i="2"/>
  <c r="EM36" i="2"/>
  <c r="BI49" i="2"/>
  <c r="AA36" i="2"/>
  <c r="DB20" i="2"/>
  <c r="DR49" i="2"/>
  <c r="BC20" i="2"/>
  <c r="CT20" i="2"/>
  <c r="AE36" i="2"/>
  <c r="AP36" i="2"/>
  <c r="S36" i="2"/>
  <c r="O36" i="2"/>
  <c r="Y36" i="2"/>
  <c r="CO49" i="2"/>
  <c r="AM36" i="2"/>
  <c r="AP49" i="2"/>
  <c r="CS49" i="2"/>
  <c r="DF20" i="2"/>
  <c r="EE49" i="2"/>
  <c r="DM20" i="2"/>
  <c r="CL20" i="2"/>
  <c r="Z20" i="2"/>
  <c r="EC20" i="2"/>
  <c r="AV36" i="2"/>
  <c r="CD49" i="2"/>
  <c r="CN20" i="2"/>
  <c r="E36" i="2"/>
  <c r="AL36" i="2"/>
  <c r="EM49" i="2"/>
  <c r="AW36" i="2"/>
  <c r="ED20" i="2"/>
  <c r="CA20" i="2"/>
  <c r="CY36" i="2"/>
  <c r="BU20" i="2"/>
  <c r="CK49" i="2"/>
  <c r="Q36" i="2"/>
  <c r="J36" i="2"/>
  <c r="DK49" i="2"/>
  <c r="CL49" i="2"/>
  <c r="ED36" i="2"/>
  <c r="BA20" i="2"/>
  <c r="AX49" i="2"/>
  <c r="AG49" i="2"/>
  <c r="DG36" i="2"/>
  <c r="AD20" i="2"/>
  <c r="BJ49" i="2"/>
  <c r="Y49" i="2"/>
  <c r="CK20" i="2"/>
  <c r="I49" i="2"/>
  <c r="BB36" i="2"/>
  <c r="AR20" i="2"/>
  <c r="DT36" i="2"/>
  <c r="DT20" i="2"/>
  <c r="BE20" i="2"/>
  <c r="CO36" i="2"/>
  <c r="BR49" i="2"/>
  <c r="CF20" i="2"/>
  <c r="BZ49" i="2"/>
  <c r="M36" i="2"/>
  <c r="CZ20" i="2"/>
  <c r="DB36" i="2"/>
  <c r="AU49" i="2"/>
  <c r="CW36" i="2"/>
  <c r="BR20" i="2"/>
  <c r="AZ36" i="2"/>
  <c r="DO20" i="2"/>
  <c r="AB49" i="2"/>
  <c r="AL49" i="2"/>
  <c r="BI20" i="2"/>
  <c r="CH20" i="2"/>
  <c r="CB20" i="2"/>
  <c r="BQ49" i="2"/>
  <c r="CE20" i="2"/>
  <c r="BK49" i="2"/>
  <c r="L20" i="2"/>
  <c r="H49" i="2"/>
  <c r="U49" i="2"/>
  <c r="BD20" i="2"/>
  <c r="EB36" i="2"/>
  <c r="CT36" i="2"/>
  <c r="EM20" i="2"/>
  <c r="DD20" i="2"/>
  <c r="N49" i="2"/>
  <c r="BF49" i="2"/>
  <c r="AH49" i="2"/>
  <c r="BX49" i="2"/>
  <c r="EL49" i="2"/>
  <c r="BK20" i="2"/>
  <c r="CG36" i="2"/>
  <c r="DN36" i="2"/>
  <c r="CH36" i="2"/>
  <c r="P20" i="2"/>
  <c r="AU20" i="2"/>
  <c r="EG36" i="2"/>
  <c r="AJ36" i="2"/>
  <c r="DW36" i="2"/>
  <c r="DH36" i="2"/>
  <c r="DG49" i="2"/>
  <c r="AK36" i="2"/>
  <c r="BX20" i="2"/>
  <c r="CM36" i="2"/>
  <c r="CM20" i="2"/>
  <c r="BY49" i="2"/>
  <c r="EK49" i="2"/>
  <c r="BD49" i="2"/>
  <c r="W20" i="2"/>
  <c r="EG20" i="2"/>
  <c r="CI36" i="2"/>
  <c r="DU20" i="2"/>
  <c r="CA36" i="2"/>
  <c r="CW49" i="2"/>
  <c r="DY36" i="2"/>
  <c r="DU49" i="2"/>
  <c r="BS20" i="2"/>
  <c r="AJ49" i="2"/>
  <c r="CW20" i="2"/>
  <c r="DB49" i="2"/>
  <c r="CZ49" i="2"/>
  <c r="CI20" i="2"/>
  <c r="Y20" i="2"/>
  <c r="EG49" i="2"/>
  <c r="G49" i="2"/>
  <c r="CB49" i="2"/>
  <c r="AK20" i="2"/>
  <c r="AI20" i="2"/>
  <c r="AD49" i="2"/>
  <c r="J20" i="2"/>
  <c r="I36" i="2"/>
  <c r="CQ49" i="2"/>
  <c r="DP49" i="2"/>
  <c r="BU49" i="2"/>
  <c r="CD36" i="2"/>
  <c r="BT20" i="2"/>
  <c r="X20" i="2"/>
  <c r="BG49" i="2"/>
  <c r="DO49" i="2"/>
  <c r="BQ20" i="2"/>
  <c r="DG20" i="2"/>
  <c r="P49" i="2"/>
  <c r="CU36" i="2"/>
  <c r="E20" i="2"/>
  <c r="DA49" i="2"/>
  <c r="DY20" i="2"/>
  <c r="AZ49" i="2"/>
  <c r="DQ36" i="2"/>
  <c r="AE49" i="2"/>
  <c r="DH49" i="2"/>
  <c r="DI36" i="2"/>
  <c r="CQ36" i="2"/>
  <c r="AG20" i="2"/>
  <c r="U36" i="2"/>
  <c r="AQ49" i="2"/>
  <c r="BS36" i="2"/>
  <c r="DD49" i="2"/>
  <c r="CA49" i="2"/>
  <c r="AB36" i="2"/>
  <c r="V49" i="2"/>
  <c r="AM49" i="2"/>
  <c r="EH49" i="2"/>
  <c r="CV49" i="2"/>
  <c r="BB20" i="2"/>
  <c r="AG36" i="2"/>
  <c r="N36" i="2"/>
  <c r="DW20" i="2"/>
  <c r="DM36" i="2"/>
  <c r="DY49" i="2"/>
  <c r="BX36" i="2"/>
  <c r="EH20" i="2"/>
  <c r="CI49" i="2"/>
  <c r="K36" i="2"/>
  <c r="BM36" i="2"/>
  <c r="AC49" i="2"/>
  <c r="AC36" i="2"/>
  <c r="EI49" i="2"/>
  <c r="CG49" i="2"/>
  <c r="EC36" i="2"/>
  <c r="ED49" i="2"/>
  <c r="DO36" i="2"/>
  <c r="AY49" i="2"/>
  <c r="DF36" i="2"/>
  <c r="U20" i="2"/>
  <c r="CY49" i="2"/>
  <c r="AY20" i="2"/>
  <c r="AH20" i="2"/>
  <c r="DX36" i="2"/>
  <c r="BE49" i="2"/>
  <c r="BY20" i="2"/>
  <c r="DV36" i="2"/>
  <c r="DI20" i="2"/>
  <c r="DX20" i="2"/>
  <c r="BD36" i="2"/>
  <c r="BW20" i="2"/>
  <c r="CP49" i="2"/>
  <c r="AS49" i="2"/>
  <c r="BW49" i="2"/>
  <c r="AI49" i="2"/>
  <c r="EJ49" i="2"/>
  <c r="DK36" i="2"/>
  <c r="CU49" i="2"/>
  <c r="EE36" i="2"/>
  <c r="AJ20" i="2"/>
  <c r="BT49" i="2"/>
  <c r="DU36" i="2"/>
  <c r="AE20" i="2"/>
  <c r="BR36" i="2"/>
  <c r="DV20" i="2"/>
  <c r="BJ20" i="2"/>
  <c r="BC49" i="2"/>
  <c r="CR20" i="2"/>
  <c r="S49" i="2"/>
  <c r="AX36" i="2"/>
  <c r="EC49" i="2"/>
  <c r="EB20" i="2"/>
  <c r="BE36" i="2"/>
  <c r="BO49" i="2"/>
  <c r="CN36" i="2"/>
  <c r="W49" i="2"/>
  <c r="F49" i="2"/>
  <c r="O20" i="2"/>
  <c r="DF49" i="2"/>
  <c r="AH36" i="2"/>
  <c r="EK20" i="2"/>
  <c r="BA36" i="2"/>
  <c r="BW36" i="2"/>
  <c r="CR36" i="2"/>
  <c r="AN20" i="2"/>
  <c r="AD36" i="2"/>
  <c r="AP20" i="2"/>
  <c r="AL20" i="2"/>
  <c r="AB20" i="2"/>
  <c r="Z49" i="2"/>
  <c r="BG36" i="2"/>
  <c r="DC49" i="2"/>
  <c r="DQ49" i="2"/>
  <c r="AZ20" i="2"/>
  <c r="AC20" i="2"/>
  <c r="CR49" i="2"/>
  <c r="EI20" i="2"/>
  <c r="CC49" i="2"/>
  <c r="T36" i="2"/>
  <c r="DH20" i="2"/>
  <c r="AO49" i="2"/>
  <c r="CF36" i="2"/>
  <c r="BO20" i="2"/>
  <c r="BM20" i="2"/>
  <c r="CH49" i="2"/>
  <c r="AQ36" i="2"/>
  <c r="N20" i="2"/>
  <c r="AR49" i="2"/>
  <c r="AI36" i="2"/>
  <c r="V36" i="2"/>
  <c r="X49" i="2"/>
  <c r="Q49" i="2"/>
  <c r="EH36" i="2"/>
  <c r="CC20" i="2"/>
  <c r="DE36" i="2"/>
  <c r="DM49" i="2"/>
  <c r="BZ20" i="2"/>
  <c r="BP20" i="2"/>
  <c r="BJ36" i="2"/>
  <c r="CE36" i="2"/>
  <c r="Z36" i="2"/>
  <c r="EA20" i="2"/>
  <c r="DA20" i="2"/>
  <c r="BG20" i="2"/>
  <c r="X36" i="2"/>
  <c r="AX20" i="2"/>
  <c r="L36" i="2"/>
  <c r="DA36" i="2"/>
  <c r="K49" i="2"/>
  <c r="DN49" i="2"/>
  <c r="T49" i="2"/>
  <c r="CT49" i="2"/>
  <c r="BQ36" i="2"/>
  <c r="CE49" i="2"/>
  <c r="AA20" i="2"/>
  <c r="BM49" i="2"/>
  <c r="S20" i="2"/>
  <c r="CG20" i="2"/>
  <c r="EE20" i="2"/>
  <c r="CC36" i="2"/>
  <c r="AU36" i="2"/>
  <c r="DI49" i="2"/>
  <c r="AS36" i="2"/>
  <c r="S13" i="4" l="1"/>
  <c r="U13" i="4"/>
  <c r="X13" i="4"/>
  <c r="Y13" i="4" s="1"/>
  <c r="P13" i="4"/>
  <c r="R13" i="4"/>
  <c r="N13" i="4"/>
  <c r="W13" i="4"/>
  <c r="V13" i="4"/>
  <c r="M13" i="4"/>
  <c r="T13" i="4"/>
  <c r="D14" i="4"/>
  <c r="I14" i="4" s="1"/>
  <c r="K14" i="4" s="1"/>
  <c r="F14" i="4"/>
  <c r="C16" i="4"/>
  <c r="G15" i="4"/>
  <c r="H15" i="4"/>
  <c r="E15" i="4"/>
  <c r="J80" i="5"/>
  <c r="G80" i="5"/>
  <c r="G84" i="5"/>
  <c r="J84" i="5"/>
  <c r="G72" i="5"/>
  <c r="J72" i="5"/>
  <c r="G87" i="5"/>
  <c r="J87" i="5"/>
  <c r="G95" i="5"/>
  <c r="J95" i="5"/>
  <c r="J76" i="5"/>
  <c r="G76" i="5"/>
  <c r="J61" i="5"/>
  <c r="G61" i="5"/>
  <c r="G89" i="5"/>
  <c r="J89" i="5"/>
  <c r="J73" i="5"/>
  <c r="G73" i="5"/>
  <c r="G100" i="5"/>
  <c r="J100" i="5"/>
  <c r="J96" i="5"/>
  <c r="G96" i="5"/>
  <c r="G57" i="5"/>
  <c r="J57" i="5"/>
  <c r="J79" i="5"/>
  <c r="G79" i="5"/>
  <c r="G75" i="5"/>
  <c r="J75" i="5"/>
  <c r="G60" i="5"/>
  <c r="J60" i="5"/>
  <c r="G68" i="5"/>
  <c r="J68" i="5"/>
  <c r="G85" i="5"/>
  <c r="J85" i="5"/>
  <c r="J69" i="5"/>
  <c r="G69" i="5"/>
  <c r="J65" i="5"/>
  <c r="G65" i="5"/>
  <c r="G77" i="5"/>
  <c r="J77" i="5"/>
  <c r="J81" i="5"/>
  <c r="G81" i="5"/>
  <c r="G93" i="5"/>
  <c r="J93" i="5"/>
  <c r="G59" i="5"/>
  <c r="J59" i="5"/>
  <c r="G67" i="5"/>
  <c r="J67" i="5"/>
  <c r="G92" i="5"/>
  <c r="J92" i="5"/>
  <c r="J91" i="5"/>
  <c r="G91" i="5"/>
  <c r="G83" i="5"/>
  <c r="J83" i="5"/>
  <c r="J64" i="5"/>
  <c r="G64" i="5"/>
  <c r="G55" i="5"/>
  <c r="J55" i="5"/>
  <c r="J71" i="5"/>
  <c r="G71" i="5"/>
  <c r="J99" i="5"/>
  <c r="G99" i="5"/>
  <c r="J97" i="5"/>
  <c r="G97" i="5"/>
  <c r="J63" i="5"/>
  <c r="G63" i="5"/>
  <c r="J56" i="5"/>
  <c r="G56" i="5"/>
  <c r="J88" i="5"/>
  <c r="G88" i="5"/>
  <c r="G101" i="5"/>
  <c r="J101" i="5"/>
  <c r="E7" i="2"/>
  <c r="E6" i="2" s="1"/>
  <c r="G7" i="2"/>
  <c r="G6" i="2" s="1"/>
  <c r="I7" i="2"/>
  <c r="I6" i="2" s="1"/>
  <c r="J16" i="4"/>
  <c r="CR7" i="2"/>
  <c r="CR6" i="2" s="1"/>
  <c r="AK7" i="2"/>
  <c r="AK6" i="2" s="1"/>
  <c r="EF7" i="2"/>
  <c r="EF6" i="2" s="1"/>
  <c r="AL7" i="2"/>
  <c r="AL6" i="2" s="1"/>
  <c r="BN7" i="2"/>
  <c r="BN6" i="2" s="1"/>
  <c r="EI7" i="2"/>
  <c r="EI6" i="2" s="1"/>
  <c r="AR7" i="2"/>
  <c r="AR6" i="2" s="1"/>
  <c r="BR7" i="2"/>
  <c r="BR6" i="2" s="1"/>
  <c r="DC7" i="2"/>
  <c r="DC6" i="2" s="1"/>
  <c r="AW7" i="2"/>
  <c r="AW6" i="2" s="1"/>
  <c r="CA7" i="2"/>
  <c r="CA6" i="2" s="1"/>
  <c r="DI7" i="2"/>
  <c r="DI6" i="2" s="1"/>
  <c r="AJ7" i="2"/>
  <c r="AJ6" i="2" s="1"/>
  <c r="EE7" i="2"/>
  <c r="EE6" i="2" s="1"/>
  <c r="BK7" i="2"/>
  <c r="BK6" i="2" s="1"/>
  <c r="AX7" i="2"/>
  <c r="AX6" i="2" s="1"/>
  <c r="CB7" i="2"/>
  <c r="CB6" i="2" s="1"/>
  <c r="DK7" i="2"/>
  <c r="DK6" i="2" s="1"/>
  <c r="AY7" i="2"/>
  <c r="AY6" i="2" s="1"/>
  <c r="CC7" i="2"/>
  <c r="CC6" i="2" s="1"/>
  <c r="DO7" i="2"/>
  <c r="DO6" i="2" s="1"/>
  <c r="BE7" i="2"/>
  <c r="BE6" i="2" s="1"/>
  <c r="CK7" i="2"/>
  <c r="CK6" i="2" s="1"/>
  <c r="DT7" i="2"/>
  <c r="DT6" i="2" s="1"/>
  <c r="BJ7" i="2"/>
  <c r="BJ6" i="2" s="1"/>
  <c r="CS7" i="2"/>
  <c r="CS6" i="2" s="1"/>
  <c r="CT7" i="2"/>
  <c r="CT6" i="2" s="1"/>
  <c r="AN7" i="2"/>
  <c r="AN6" i="2" s="1"/>
  <c r="BB7" i="2"/>
  <c r="BB6" i="2" s="1"/>
  <c r="BO7" i="2"/>
  <c r="BO6" i="2" s="1"/>
  <c r="CE7" i="2"/>
  <c r="CE6" i="2" s="1"/>
  <c r="CW7" i="2"/>
  <c r="CW6" i="2" s="1"/>
  <c r="DR7" i="2"/>
  <c r="DR6" i="2" s="1"/>
  <c r="EJ7" i="2"/>
  <c r="EJ6" i="2" s="1"/>
  <c r="AP7" i="2"/>
  <c r="AP6" i="2" s="1"/>
  <c r="BC7" i="2"/>
  <c r="BC6" i="2" s="1"/>
  <c r="BP7" i="2"/>
  <c r="BP6" i="2" s="1"/>
  <c r="CF7" i="2"/>
  <c r="CF6" i="2" s="1"/>
  <c r="DB7" i="2"/>
  <c r="DB6" i="2" s="1"/>
  <c r="DS7" i="2"/>
  <c r="DS6" i="2" s="1"/>
  <c r="AG7" i="2"/>
  <c r="AG6" i="2" s="1"/>
  <c r="AS7" i="2"/>
  <c r="AS6" i="2" s="1"/>
  <c r="BF7" i="2"/>
  <c r="BF6" i="2" s="1"/>
  <c r="BS7" i="2"/>
  <c r="BS6" i="2" s="1"/>
  <c r="CN7" i="2"/>
  <c r="CN6" i="2" s="1"/>
  <c r="DE7" i="2"/>
  <c r="DE6" i="2" s="1"/>
  <c r="DV7" i="2"/>
  <c r="DV6" i="2" s="1"/>
  <c r="AH7" i="2"/>
  <c r="AH6" i="2" s="1"/>
  <c r="AU7" i="2"/>
  <c r="AU6" i="2" s="1"/>
  <c r="BG7" i="2"/>
  <c r="BG6" i="2" s="1"/>
  <c r="BW7" i="2"/>
  <c r="BW6" i="2" s="1"/>
  <c r="CO7" i="2"/>
  <c r="CO6" i="2" s="1"/>
  <c r="DF7" i="2"/>
  <c r="DF6" i="2" s="1"/>
  <c r="EC7" i="2"/>
  <c r="EC6" i="2" s="1"/>
  <c r="EA7" i="2"/>
  <c r="EA6" i="2" s="1"/>
  <c r="EM7" i="2"/>
  <c r="EM6" i="2" s="1"/>
  <c r="AO7" i="2"/>
  <c r="AO6" i="2" s="1"/>
  <c r="BA7" i="2"/>
  <c r="BA6" i="2" s="1"/>
  <c r="BL7" i="2"/>
  <c r="BL6" i="2" s="1"/>
  <c r="BX7" i="2"/>
  <c r="BX6" i="2" s="1"/>
  <c r="CL7" i="2"/>
  <c r="CL6" i="2" s="1"/>
  <c r="DA7" i="2"/>
  <c r="DA6" i="2" s="1"/>
  <c r="DN7" i="2"/>
  <c r="DN6" i="2" s="1"/>
  <c r="EB7" i="2"/>
  <c r="EB6" i="2" s="1"/>
  <c r="BT7" i="2"/>
  <c r="BT6" i="2" s="1"/>
  <c r="CI7" i="2"/>
  <c r="CI6" i="2" s="1"/>
  <c r="CV7" i="2"/>
  <c r="CV6" i="2" s="1"/>
  <c r="DJ7" i="2"/>
  <c r="DJ6" i="2" s="1"/>
  <c r="DW7" i="2"/>
  <c r="DW6" i="2" s="1"/>
  <c r="EK7" i="2"/>
  <c r="EK6" i="2" s="1"/>
  <c r="BY7" i="2"/>
  <c r="BY6" i="2" s="1"/>
  <c r="CG7" i="2"/>
  <c r="CG6" i="2" s="1"/>
  <c r="CP7" i="2"/>
  <c r="CP6" i="2" s="1"/>
  <c r="CY7" i="2"/>
  <c r="CY6" i="2" s="1"/>
  <c r="DG7" i="2"/>
  <c r="DG6" i="2" s="1"/>
  <c r="DP7" i="2"/>
  <c r="DP6" i="2" s="1"/>
  <c r="DX7" i="2"/>
  <c r="DX6" i="2" s="1"/>
  <c r="EG7" i="2"/>
  <c r="EG6" i="2" s="1"/>
  <c r="AI7" i="2"/>
  <c r="AI6" i="2" s="1"/>
  <c r="AQ7" i="2"/>
  <c r="AQ6" i="2" s="1"/>
  <c r="AZ7" i="2"/>
  <c r="AZ6" i="2" s="1"/>
  <c r="BI7" i="2"/>
  <c r="BI6" i="2" s="1"/>
  <c r="BQ7" i="2"/>
  <c r="BQ6" i="2" s="1"/>
  <c r="BZ7" i="2"/>
  <c r="BZ6" i="2" s="1"/>
  <c r="CH7" i="2"/>
  <c r="CH6" i="2" s="1"/>
  <c r="CQ7" i="2"/>
  <c r="CQ6" i="2" s="1"/>
  <c r="CZ7" i="2"/>
  <c r="CZ6" i="2" s="1"/>
  <c r="DH7" i="2"/>
  <c r="DH6" i="2" s="1"/>
  <c r="DQ7" i="2"/>
  <c r="DQ6" i="2" s="1"/>
  <c r="DY7" i="2"/>
  <c r="DY6" i="2" s="1"/>
  <c r="EH7" i="2"/>
  <c r="EH6" i="2" s="1"/>
  <c r="AM7" i="2"/>
  <c r="AM6" i="2" s="1"/>
  <c r="AV7" i="2"/>
  <c r="AV6" i="2" s="1"/>
  <c r="BD7" i="2"/>
  <c r="BD6" i="2" s="1"/>
  <c r="BM7" i="2"/>
  <c r="BM6" i="2" s="1"/>
  <c r="BU7" i="2"/>
  <c r="BU6" i="2" s="1"/>
  <c r="CD7" i="2"/>
  <c r="CD6" i="2" s="1"/>
  <c r="CM7" i="2"/>
  <c r="CM6" i="2" s="1"/>
  <c r="CU7" i="2"/>
  <c r="CU6" i="2" s="1"/>
  <c r="DD7" i="2"/>
  <c r="DD6" i="2" s="1"/>
  <c r="DM7" i="2"/>
  <c r="DM6" i="2" s="1"/>
  <c r="DU7" i="2"/>
  <c r="DU6" i="2" s="1"/>
  <c r="ED7" i="2"/>
  <c r="ED6" i="2" s="1"/>
  <c r="EL7" i="2"/>
  <c r="EL6" i="2" s="1"/>
  <c r="S7" i="2"/>
  <c r="S6" i="2" s="1"/>
  <c r="AA7" i="2"/>
  <c r="AA6" i="2" s="1"/>
  <c r="AE7" i="2"/>
  <c r="AE6" i="2" s="1"/>
  <c r="T7" i="2"/>
  <c r="T6" i="2" s="1"/>
  <c r="AB7" i="2"/>
  <c r="AB6" i="2" s="1"/>
  <c r="X7" i="2"/>
  <c r="X6" i="2" s="1"/>
  <c r="Y7" i="2"/>
  <c r="Y6" i="2" s="1"/>
  <c r="Z7" i="2"/>
  <c r="Z6" i="2" s="1"/>
  <c r="U7" i="2"/>
  <c r="U6" i="2" s="1"/>
  <c r="AC7" i="2"/>
  <c r="AC6" i="2" s="1"/>
  <c r="W7" i="2"/>
  <c r="W6" i="2" s="1"/>
  <c r="V7" i="2"/>
  <c r="V6" i="2" s="1"/>
  <c r="AD7" i="2"/>
  <c r="AD6" i="2" s="1"/>
  <c r="H7" i="2"/>
  <c r="H6" i="2" s="1"/>
  <c r="M7" i="2"/>
  <c r="M6" i="2" s="1"/>
  <c r="K7" i="2"/>
  <c r="K6" i="2" s="1"/>
  <c r="O7" i="2"/>
  <c r="O6" i="2" s="1"/>
  <c r="L7" i="2"/>
  <c r="L6" i="2" s="1"/>
  <c r="J7" i="2"/>
  <c r="J6" i="2" s="1"/>
  <c r="P7" i="2"/>
  <c r="P6" i="2" s="1"/>
  <c r="N7" i="2"/>
  <c r="N6" i="2" s="1"/>
  <c r="F7" i="2"/>
  <c r="F6" i="2" s="1"/>
  <c r="Q11" i="2"/>
  <c r="Q12" i="2"/>
  <c r="Q13" i="2"/>
  <c r="Q14" i="2"/>
  <c r="Q15" i="2"/>
  <c r="Q16" i="2"/>
  <c r="Q17" i="2"/>
  <c r="Q18" i="2"/>
  <c r="Q19" i="2"/>
  <c r="Q10" i="2"/>
  <c r="E5" i="2"/>
  <c r="S5" i="2" s="1"/>
  <c r="V22" i="2" s="1"/>
  <c r="Q20" i="2"/>
  <c r="F15" i="4" l="1"/>
  <c r="D15" i="4"/>
  <c r="I15" i="4" s="1"/>
  <c r="K15" i="4" s="1"/>
  <c r="C17" i="4"/>
  <c r="E16" i="4"/>
  <c r="G16" i="4"/>
  <c r="H16" i="4"/>
  <c r="N14" i="4"/>
  <c r="M14" i="4"/>
  <c r="V14" i="4" s="1"/>
  <c r="AJ19" i="4"/>
  <c r="AJ20" i="4"/>
  <c r="J17" i="4"/>
  <c r="U38" i="2"/>
  <c r="AE22" i="2"/>
  <c r="AD22" i="2"/>
  <c r="S38" i="2"/>
  <c r="X22" i="2"/>
  <c r="AA22" i="2"/>
  <c r="AE38" i="2"/>
  <c r="X38" i="2"/>
  <c r="S9" i="2"/>
  <c r="Y9" i="2"/>
  <c r="AC38" i="2"/>
  <c r="AB9" i="2"/>
  <c r="U9" i="2"/>
  <c r="U22" i="2"/>
  <c r="AA9" i="2"/>
  <c r="Z22" i="2"/>
  <c r="W38" i="2"/>
  <c r="AB22" i="2"/>
  <c r="Y38" i="2"/>
  <c r="S22" i="2"/>
  <c r="AD9" i="2"/>
  <c r="AG5" i="2"/>
  <c r="V38" i="2"/>
  <c r="AE9" i="2"/>
  <c r="Y22" i="2"/>
  <c r="AC9" i="2"/>
  <c r="T9" i="2"/>
  <c r="W22" i="2"/>
  <c r="Z9" i="2"/>
  <c r="V9" i="2"/>
  <c r="AC22" i="2"/>
  <c r="AB38" i="2"/>
  <c r="T22" i="2"/>
  <c r="X9" i="2"/>
  <c r="AD38" i="2"/>
  <c r="T38" i="2"/>
  <c r="AA38" i="2"/>
  <c r="Z38" i="2"/>
  <c r="W9" i="2"/>
  <c r="Q7" i="2"/>
  <c r="Q6" i="2" s="1"/>
  <c r="Q38" i="2"/>
  <c r="I38" i="2"/>
  <c r="F38" i="2"/>
  <c r="M38" i="2"/>
  <c r="P38" i="2"/>
  <c r="H38" i="2"/>
  <c r="N38" i="2"/>
  <c r="E38" i="2"/>
  <c r="L38" i="2"/>
  <c r="O38" i="2"/>
  <c r="G38" i="2"/>
  <c r="K38" i="2"/>
  <c r="J38" i="2"/>
  <c r="L9" i="2"/>
  <c r="J22" i="2"/>
  <c r="Q22" i="2"/>
  <c r="H22" i="2"/>
  <c r="O22" i="2"/>
  <c r="N22" i="2"/>
  <c r="F22" i="2"/>
  <c r="K22" i="2"/>
  <c r="I22" i="2"/>
  <c r="M22" i="2"/>
  <c r="E22" i="2"/>
  <c r="P22" i="2"/>
  <c r="G22" i="2"/>
  <c r="L22" i="2"/>
  <c r="M9" i="2"/>
  <c r="F9" i="2"/>
  <c r="N9" i="2"/>
  <c r="E9" i="2"/>
  <c r="G9" i="2"/>
  <c r="O9" i="2"/>
  <c r="H9" i="2"/>
  <c r="P9" i="2"/>
  <c r="I9" i="2"/>
  <c r="Q9" i="2"/>
  <c r="J9" i="2"/>
  <c r="K9" i="2"/>
  <c r="F16" i="4" l="1"/>
  <c r="D16" i="4"/>
  <c r="I16" i="4" s="1"/>
  <c r="K16" i="4" s="1"/>
  <c r="O14" i="4"/>
  <c r="C18" i="4"/>
  <c r="E17" i="4"/>
  <c r="G17" i="4"/>
  <c r="H17" i="4"/>
  <c r="T14" i="4"/>
  <c r="Q14" i="4"/>
  <c r="N15" i="4"/>
  <c r="M15" i="4"/>
  <c r="L14" i="4"/>
  <c r="L16" i="4"/>
  <c r="L15" i="4"/>
  <c r="K63" i="5"/>
  <c r="K100" i="5"/>
  <c r="K93" i="5"/>
  <c r="K81" i="5"/>
  <c r="K75" i="5"/>
  <c r="K67" i="5"/>
  <c r="K59" i="5"/>
  <c r="K80" i="5"/>
  <c r="K73" i="5"/>
  <c r="K60" i="5"/>
  <c r="K57" i="5"/>
  <c r="K89" i="5"/>
  <c r="K85" i="5"/>
  <c r="K77" i="5"/>
  <c r="K84" i="5"/>
  <c r="K83" i="5"/>
  <c r="K56" i="5"/>
  <c r="K55" i="5"/>
  <c r="K97" i="5"/>
  <c r="K68" i="5"/>
  <c r="K71" i="5"/>
  <c r="K64" i="5"/>
  <c r="K79" i="5"/>
  <c r="K88" i="5"/>
  <c r="K101" i="5"/>
  <c r="K95" i="5"/>
  <c r="K91" i="5"/>
  <c r="K69" i="5"/>
  <c r="K72" i="5"/>
  <c r="K65" i="5"/>
  <c r="K87" i="5"/>
  <c r="K76" i="5"/>
  <c r="K99" i="5"/>
  <c r="K92" i="5"/>
  <c r="K96" i="5"/>
  <c r="K61" i="5"/>
  <c r="J18" i="4"/>
  <c r="AL38" i="2"/>
  <c r="AR9" i="2"/>
  <c r="AI38" i="2"/>
  <c r="AH22" i="2"/>
  <c r="AK38" i="2"/>
  <c r="AH9" i="2"/>
  <c r="AK22" i="2"/>
  <c r="AQ22" i="2"/>
  <c r="AN38" i="2"/>
  <c r="AN22" i="2"/>
  <c r="AG9" i="2"/>
  <c r="AL9" i="2"/>
  <c r="AU5" i="2"/>
  <c r="AH38" i="2"/>
  <c r="AS9" i="2"/>
  <c r="AS22" i="2"/>
  <c r="AM9" i="2"/>
  <c r="AQ38" i="2"/>
  <c r="AJ9" i="2"/>
  <c r="AG38" i="2"/>
  <c r="AI22" i="2"/>
  <c r="AR22" i="2"/>
  <c r="AO9" i="2"/>
  <c r="AS38" i="2"/>
  <c r="AI9" i="2"/>
  <c r="AG22" i="2"/>
  <c r="AL22" i="2"/>
  <c r="AP9" i="2"/>
  <c r="AM22" i="2"/>
  <c r="AP38" i="2"/>
  <c r="AO38" i="2"/>
  <c r="AP22" i="2"/>
  <c r="AO22" i="2"/>
  <c r="AQ9" i="2"/>
  <c r="AR38" i="2"/>
  <c r="AJ38" i="2"/>
  <c r="AK9" i="2"/>
  <c r="AM38" i="2"/>
  <c r="AN9" i="2"/>
  <c r="AJ22" i="2"/>
  <c r="P14" i="4"/>
  <c r="R14" i="4"/>
  <c r="F17" i="4" l="1"/>
  <c r="D17" i="4"/>
  <c r="I17" i="4" s="1"/>
  <c r="K17" i="4" s="1"/>
  <c r="V15" i="4"/>
  <c r="T15" i="4"/>
  <c r="O15" i="4"/>
  <c r="Q15" i="4"/>
  <c r="C19" i="4"/>
  <c r="J19" i="4" s="1"/>
  <c r="E18" i="4"/>
  <c r="G18" i="4"/>
  <c r="H18" i="4"/>
  <c r="L17" i="4"/>
  <c r="N16" i="4"/>
  <c r="M16" i="4"/>
  <c r="S14" i="4"/>
  <c r="M72" i="5"/>
  <c r="P72" i="5"/>
  <c r="L72" i="5"/>
  <c r="L84" i="5"/>
  <c r="M84" i="5"/>
  <c r="P84" i="5"/>
  <c r="L59" i="5"/>
  <c r="M59" i="5"/>
  <c r="P59" i="5"/>
  <c r="M61" i="5"/>
  <c r="P61" i="5"/>
  <c r="L61" i="5"/>
  <c r="L69" i="5"/>
  <c r="M69" i="5"/>
  <c r="P69" i="5"/>
  <c r="L64" i="5"/>
  <c r="M64" i="5"/>
  <c r="P64" i="5"/>
  <c r="M77" i="5"/>
  <c r="P77" i="5"/>
  <c r="L77" i="5"/>
  <c r="M67" i="5"/>
  <c r="P67" i="5"/>
  <c r="L67" i="5"/>
  <c r="L96" i="5"/>
  <c r="M96" i="5"/>
  <c r="P96" i="5"/>
  <c r="L91" i="5"/>
  <c r="M91" i="5"/>
  <c r="P91" i="5"/>
  <c r="L71" i="5"/>
  <c r="M71" i="5"/>
  <c r="P71" i="5"/>
  <c r="M85" i="5"/>
  <c r="L85" i="5"/>
  <c r="P85" i="5"/>
  <c r="M75" i="5"/>
  <c r="P75" i="5"/>
  <c r="L75" i="5"/>
  <c r="M68" i="5"/>
  <c r="P68" i="5"/>
  <c r="L68" i="5"/>
  <c r="L99" i="5"/>
  <c r="M99" i="5"/>
  <c r="P99" i="5"/>
  <c r="M95" i="5"/>
  <c r="L95" i="5"/>
  <c r="P95" i="5"/>
  <c r="M97" i="5"/>
  <c r="P97" i="5"/>
  <c r="L97" i="5"/>
  <c r="L57" i="5"/>
  <c r="M57" i="5"/>
  <c r="P57" i="5"/>
  <c r="M93" i="5"/>
  <c r="L93" i="5"/>
  <c r="P93" i="5"/>
  <c r="M92" i="5"/>
  <c r="P92" i="5"/>
  <c r="L92" i="5"/>
  <c r="M89" i="5"/>
  <c r="L89" i="5"/>
  <c r="P89" i="5"/>
  <c r="M76" i="5"/>
  <c r="L76" i="5"/>
  <c r="P76" i="5"/>
  <c r="L101" i="5"/>
  <c r="M101" i="5"/>
  <c r="P101" i="5"/>
  <c r="M55" i="5"/>
  <c r="P55" i="5"/>
  <c r="L55" i="5"/>
  <c r="M60" i="5"/>
  <c r="P60" i="5"/>
  <c r="L60" i="5"/>
  <c r="L100" i="5"/>
  <c r="M100" i="5"/>
  <c r="P100" i="5"/>
  <c r="M81" i="5"/>
  <c r="L81" i="5"/>
  <c r="P81" i="5"/>
  <c r="M87" i="5"/>
  <c r="P87" i="5"/>
  <c r="L87" i="5"/>
  <c r="L88" i="5"/>
  <c r="M88" i="5"/>
  <c r="P88" i="5"/>
  <c r="M56" i="5"/>
  <c r="L56" i="5"/>
  <c r="P56" i="5"/>
  <c r="M73" i="5"/>
  <c r="L73" i="5"/>
  <c r="P73" i="5"/>
  <c r="L63" i="5"/>
  <c r="M63" i="5"/>
  <c r="P63" i="5"/>
  <c r="M65" i="5"/>
  <c r="P65" i="5"/>
  <c r="L65" i="5"/>
  <c r="M79" i="5"/>
  <c r="P79" i="5"/>
  <c r="L79" i="5"/>
  <c r="M83" i="5"/>
  <c r="P83" i="5"/>
  <c r="L83" i="5"/>
  <c r="M80" i="5"/>
  <c r="P80" i="5"/>
  <c r="L80" i="5"/>
  <c r="AZ22" i="2"/>
  <c r="BE38" i="2"/>
  <c r="AX38" i="2"/>
  <c r="BA38" i="2"/>
  <c r="BI5" i="2"/>
  <c r="BE22" i="2"/>
  <c r="BA9" i="2"/>
  <c r="BD38" i="2"/>
  <c r="AZ9" i="2"/>
  <c r="AU22" i="2"/>
  <c r="BB22" i="2"/>
  <c r="BC22" i="2"/>
  <c r="BE9" i="2"/>
  <c r="BC9" i="2"/>
  <c r="AV38" i="2"/>
  <c r="BG38" i="2"/>
  <c r="AX9" i="2"/>
  <c r="AW9" i="2"/>
  <c r="AU38" i="2"/>
  <c r="AV9" i="2"/>
  <c r="BD22" i="2"/>
  <c r="AY38" i="2"/>
  <c r="BC38" i="2"/>
  <c r="AW38" i="2"/>
  <c r="AX22" i="2"/>
  <c r="AU9" i="2"/>
  <c r="AY9" i="2"/>
  <c r="AV22" i="2"/>
  <c r="BG22" i="2"/>
  <c r="BF22" i="2"/>
  <c r="BA22" i="2"/>
  <c r="AW22" i="2"/>
  <c r="BB38" i="2"/>
  <c r="AZ38" i="2"/>
  <c r="BD9" i="2"/>
  <c r="AY22" i="2"/>
  <c r="BB9" i="2"/>
  <c r="BG9" i="2"/>
  <c r="BF9" i="2"/>
  <c r="BF38" i="2"/>
  <c r="R15" i="4"/>
  <c r="P15" i="4"/>
  <c r="S15" i="4" l="1"/>
  <c r="C20" i="4"/>
  <c r="H19" i="4"/>
  <c r="E19" i="4"/>
  <c r="G19" i="4"/>
  <c r="D18" i="4"/>
  <c r="I18" i="4" s="1"/>
  <c r="F18" i="4"/>
  <c r="K18" i="4"/>
  <c r="L18" i="4"/>
  <c r="T16" i="4"/>
  <c r="Q16" i="4"/>
  <c r="O16" i="4"/>
  <c r="V16" i="4"/>
  <c r="Y18" i="4"/>
  <c r="AD18" i="4"/>
  <c r="AA18" i="4"/>
  <c r="AB18" i="4"/>
  <c r="Z18" i="4"/>
  <c r="AC18" i="4"/>
  <c r="V17" i="4"/>
  <c r="U17" i="4"/>
  <c r="X17" i="4"/>
  <c r="S17" i="4"/>
  <c r="M17" i="4"/>
  <c r="P17" i="4"/>
  <c r="N17" i="4"/>
  <c r="Q17" i="4"/>
  <c r="T17" i="4"/>
  <c r="O17" i="4"/>
  <c r="R17" i="4"/>
  <c r="W17" i="4"/>
  <c r="Q95" i="5"/>
  <c r="R95" i="5"/>
  <c r="N95" i="5"/>
  <c r="O95" i="5"/>
  <c r="R75" i="5"/>
  <c r="Q75" i="5"/>
  <c r="O75" i="5"/>
  <c r="N75" i="5"/>
  <c r="N71" i="5"/>
  <c r="O71" i="5"/>
  <c r="Q71" i="5"/>
  <c r="R71" i="5"/>
  <c r="Q59" i="5"/>
  <c r="R59" i="5"/>
  <c r="N59" i="5"/>
  <c r="O59" i="5"/>
  <c r="N91" i="5"/>
  <c r="O91" i="5"/>
  <c r="Q91" i="5"/>
  <c r="R91" i="5"/>
  <c r="R79" i="5"/>
  <c r="Q79" i="5"/>
  <c r="O79" i="5"/>
  <c r="N79" i="5"/>
  <c r="O63" i="5"/>
  <c r="R63" i="5"/>
  <c r="Q63" i="5"/>
  <c r="N63" i="5"/>
  <c r="N89" i="5"/>
  <c r="O89" i="5"/>
  <c r="R89" i="5"/>
  <c r="Q89" i="5"/>
  <c r="O61" i="5"/>
  <c r="R61" i="5"/>
  <c r="Q61" i="5"/>
  <c r="N61" i="5"/>
  <c r="Q88" i="5"/>
  <c r="R88" i="5"/>
  <c r="O88" i="5"/>
  <c r="N88" i="5"/>
  <c r="N77" i="5"/>
  <c r="O77" i="5"/>
  <c r="Q77" i="5"/>
  <c r="R77" i="5"/>
  <c r="Q69" i="5"/>
  <c r="R69" i="5"/>
  <c r="N69" i="5"/>
  <c r="O69" i="5"/>
  <c r="Q87" i="5"/>
  <c r="N87" i="5"/>
  <c r="O87" i="5"/>
  <c r="R87" i="5"/>
  <c r="N57" i="5"/>
  <c r="O57" i="5"/>
  <c r="Q57" i="5"/>
  <c r="R57" i="5"/>
  <c r="Q65" i="5"/>
  <c r="N65" i="5"/>
  <c r="R65" i="5"/>
  <c r="O65" i="5"/>
  <c r="Q60" i="5"/>
  <c r="N60" i="5"/>
  <c r="R60" i="5"/>
  <c r="O60" i="5"/>
  <c r="N101" i="5"/>
  <c r="O101" i="5"/>
  <c r="Q101" i="5"/>
  <c r="R101" i="5"/>
  <c r="Q97" i="5"/>
  <c r="R97" i="5"/>
  <c r="N97" i="5"/>
  <c r="O97" i="5"/>
  <c r="N99" i="5"/>
  <c r="O99" i="5"/>
  <c r="R99" i="5"/>
  <c r="Q99" i="5"/>
  <c r="O85" i="5"/>
  <c r="N85" i="5"/>
  <c r="R85" i="5"/>
  <c r="Q85" i="5"/>
  <c r="R72" i="5"/>
  <c r="Q72" i="5"/>
  <c r="O72" i="5"/>
  <c r="N72" i="5"/>
  <c r="N80" i="5"/>
  <c r="O80" i="5"/>
  <c r="Q80" i="5"/>
  <c r="R80" i="5"/>
  <c r="Q73" i="5"/>
  <c r="N73" i="5"/>
  <c r="R73" i="5"/>
  <c r="O73" i="5"/>
  <c r="Q100" i="5"/>
  <c r="R100" i="5"/>
  <c r="N100" i="5"/>
  <c r="O100" i="5"/>
  <c r="Q84" i="5"/>
  <c r="R84" i="5"/>
  <c r="O84" i="5"/>
  <c r="N84" i="5"/>
  <c r="N68" i="5"/>
  <c r="O68" i="5"/>
  <c r="R68" i="5"/>
  <c r="Q68" i="5"/>
  <c r="N92" i="5"/>
  <c r="O92" i="5"/>
  <c r="Q92" i="5"/>
  <c r="R92" i="5"/>
  <c r="R83" i="5"/>
  <c r="Q83" i="5"/>
  <c r="O83" i="5"/>
  <c r="N83" i="5"/>
  <c r="Q56" i="5"/>
  <c r="N56" i="5"/>
  <c r="R56" i="5"/>
  <c r="O56" i="5"/>
  <c r="N76" i="5"/>
  <c r="O76" i="5"/>
  <c r="Q76" i="5"/>
  <c r="R76" i="5"/>
  <c r="Q96" i="5"/>
  <c r="O96" i="5"/>
  <c r="R96" i="5"/>
  <c r="N96" i="5"/>
  <c r="N81" i="5"/>
  <c r="O81" i="5"/>
  <c r="Q81" i="5"/>
  <c r="R81" i="5"/>
  <c r="N55" i="5"/>
  <c r="O55" i="5"/>
  <c r="Q55" i="5"/>
  <c r="R55" i="5"/>
  <c r="R93" i="5"/>
  <c r="Q93" i="5"/>
  <c r="O93" i="5"/>
  <c r="N93" i="5"/>
  <c r="N67" i="5"/>
  <c r="O67" i="5"/>
  <c r="Q67" i="5"/>
  <c r="R67" i="5"/>
  <c r="O64" i="5"/>
  <c r="N64" i="5"/>
  <c r="R64" i="5"/>
  <c r="Q64" i="5"/>
  <c r="J20" i="4"/>
  <c r="BU38" i="2"/>
  <c r="BQ22" i="2"/>
  <c r="BS38" i="2"/>
  <c r="BO9" i="2"/>
  <c r="BR9" i="2"/>
  <c r="BI22" i="2"/>
  <c r="BK22" i="2"/>
  <c r="BT38" i="2"/>
  <c r="BU9" i="2"/>
  <c r="BM38" i="2"/>
  <c r="BJ22" i="2"/>
  <c r="BN9" i="2"/>
  <c r="BK38" i="2"/>
  <c r="BP38" i="2"/>
  <c r="BN38" i="2"/>
  <c r="BL22" i="2"/>
  <c r="BU22" i="2"/>
  <c r="BQ9" i="2"/>
  <c r="BT9" i="2"/>
  <c r="BK9" i="2"/>
  <c r="BL9" i="2"/>
  <c r="BM22" i="2"/>
  <c r="BI9" i="2"/>
  <c r="BJ9" i="2"/>
  <c r="BW5" i="2"/>
  <c r="BR38" i="2"/>
  <c r="BI38" i="2"/>
  <c r="BO22" i="2"/>
  <c r="BM9" i="2"/>
  <c r="BP22" i="2"/>
  <c r="BT22" i="2"/>
  <c r="BS9" i="2"/>
  <c r="BR22" i="2"/>
  <c r="BL38" i="2"/>
  <c r="BQ38" i="2"/>
  <c r="BO38" i="2"/>
  <c r="BJ38" i="2"/>
  <c r="BN22" i="2"/>
  <c r="BS22" i="2"/>
  <c r="BP9" i="2"/>
  <c r="R16" i="4"/>
  <c r="P16" i="4"/>
  <c r="S16" i="4" l="1"/>
  <c r="S18" i="4"/>
  <c r="V18" i="4"/>
  <c r="T18" i="4"/>
  <c r="M18" i="4"/>
  <c r="W18" i="4"/>
  <c r="R18" i="4"/>
  <c r="P18" i="4"/>
  <c r="Q18" i="4"/>
  <c r="X18" i="4"/>
  <c r="U18" i="4"/>
  <c r="N18" i="4"/>
  <c r="O18" i="4"/>
  <c r="D19" i="4"/>
  <c r="I19" i="4" s="1"/>
  <c r="K19" i="4"/>
  <c r="L19" i="4"/>
  <c r="F19" i="4"/>
  <c r="AD19" i="4"/>
  <c r="AB19" i="4"/>
  <c r="AA19" i="4"/>
  <c r="Z19" i="4"/>
  <c r="AC19" i="4"/>
  <c r="C21" i="4"/>
  <c r="H20" i="4"/>
  <c r="G20" i="4"/>
  <c r="E20" i="4"/>
  <c r="CD38" i="2"/>
  <c r="BZ9" i="2"/>
  <c r="BW22" i="2"/>
  <c r="CA38" i="2"/>
  <c r="BW9" i="2"/>
  <c r="CG38" i="2"/>
  <c r="CC22" i="2"/>
  <c r="CG9" i="2"/>
  <c r="CE38" i="2"/>
  <c r="CC9" i="2"/>
  <c r="CD22" i="2"/>
  <c r="CF9" i="2"/>
  <c r="BW38" i="2"/>
  <c r="CF22" i="2"/>
  <c r="CD9" i="2"/>
  <c r="BY38" i="2"/>
  <c r="CK5" i="2"/>
  <c r="CA9" i="2"/>
  <c r="CE9" i="2"/>
  <c r="CH38" i="2"/>
  <c r="CI38" i="2"/>
  <c r="BZ38" i="2"/>
  <c r="CI22" i="2"/>
  <c r="BZ22" i="2"/>
  <c r="CG22" i="2"/>
  <c r="CA22" i="2"/>
  <c r="BX22" i="2"/>
  <c r="CB9" i="2"/>
  <c r="BY22" i="2"/>
  <c r="CH22" i="2"/>
  <c r="CC38" i="2"/>
  <c r="CB38" i="2"/>
  <c r="BX9" i="2"/>
  <c r="BX38" i="2"/>
  <c r="CE22" i="2"/>
  <c r="CH9" i="2"/>
  <c r="CF38" i="2"/>
  <c r="BY9" i="2"/>
  <c r="CB22" i="2"/>
  <c r="CI9" i="2"/>
  <c r="U14" i="4"/>
  <c r="U15" i="4"/>
  <c r="U16" i="4"/>
  <c r="C22" i="4" l="1"/>
  <c r="J22" i="4" s="1"/>
  <c r="H21" i="4"/>
  <c r="G21" i="4"/>
  <c r="E21" i="4"/>
  <c r="J21" i="4"/>
  <c r="F20" i="4"/>
  <c r="D20" i="4"/>
  <c r="I20" i="4" s="1"/>
  <c r="L20" i="4"/>
  <c r="R19" i="4"/>
  <c r="N19" i="4"/>
  <c r="W19" i="4"/>
  <c r="T19" i="4"/>
  <c r="P19" i="4"/>
  <c r="V19" i="4"/>
  <c r="Q19" i="4"/>
  <c r="O19" i="4"/>
  <c r="U19" i="4"/>
  <c r="S19" i="4"/>
  <c r="M19" i="4"/>
  <c r="X19" i="4"/>
  <c r="K20" i="4"/>
  <c r="CU38" i="2"/>
  <c r="CQ9" i="2"/>
  <c r="CR9" i="2"/>
  <c r="CW9" i="2"/>
  <c r="CL9" i="2"/>
  <c r="CM38" i="2"/>
  <c r="CP38" i="2"/>
  <c r="CS38" i="2"/>
  <c r="CK9" i="2"/>
  <c r="CL38" i="2"/>
  <c r="CM22" i="2"/>
  <c r="CO9" i="2"/>
  <c r="CP9" i="2"/>
  <c r="CU22" i="2"/>
  <c r="CP22" i="2"/>
  <c r="CV22" i="2"/>
  <c r="CY5" i="2"/>
  <c r="CO22" i="2"/>
  <c r="CR38" i="2"/>
  <c r="CN38" i="2"/>
  <c r="CK38" i="2"/>
  <c r="CQ22" i="2"/>
  <c r="CV38" i="2"/>
  <c r="CU9" i="2"/>
  <c r="CT22" i="2"/>
  <c r="CW38" i="2"/>
  <c r="CR22" i="2"/>
  <c r="CN22" i="2"/>
  <c r="CM9" i="2"/>
  <c r="CT38" i="2"/>
  <c r="CV9" i="2"/>
  <c r="CS9" i="2"/>
  <c r="CW22" i="2"/>
  <c r="CT9" i="2"/>
  <c r="CS22" i="2"/>
  <c r="CN9" i="2"/>
  <c r="CQ38" i="2"/>
  <c r="CO38" i="2"/>
  <c r="CL22" i="2"/>
  <c r="CK22" i="2"/>
  <c r="W16" i="4"/>
  <c r="W14" i="4"/>
  <c r="W15" i="4"/>
  <c r="X14" i="4" l="1"/>
  <c r="X16" i="4"/>
  <c r="X15" i="4"/>
  <c r="F21" i="4"/>
  <c r="D21" i="4"/>
  <c r="I21" i="4" s="1"/>
  <c r="K21" i="4" s="1"/>
  <c r="L21" i="4"/>
  <c r="C23" i="4"/>
  <c r="G22" i="4"/>
  <c r="H22" i="4"/>
  <c r="E22" i="4"/>
  <c r="M20" i="4"/>
  <c r="V20" i="4" s="1"/>
  <c r="DD38" i="2"/>
  <c r="CZ9" i="2"/>
  <c r="DK22" i="2"/>
  <c r="DA9" i="2"/>
  <c r="DE22" i="2"/>
  <c r="DD22" i="2"/>
  <c r="DG38" i="2"/>
  <c r="DC9" i="2"/>
  <c r="DJ9" i="2"/>
  <c r="DE9" i="2"/>
  <c r="DD9" i="2"/>
  <c r="CY38" i="2"/>
  <c r="DF38" i="2"/>
  <c r="DK38" i="2"/>
  <c r="CY9" i="2"/>
  <c r="DH38" i="2"/>
  <c r="DG22" i="2"/>
  <c r="DJ22" i="2"/>
  <c r="DI9" i="2"/>
  <c r="DM5" i="2"/>
  <c r="CZ38" i="2"/>
  <c r="CY22" i="2"/>
  <c r="DA38" i="2"/>
  <c r="DA22" i="2"/>
  <c r="DJ38" i="2"/>
  <c r="DF9" i="2"/>
  <c r="DH22" i="2"/>
  <c r="DE38" i="2"/>
  <c r="DC22" i="2"/>
  <c r="DK9" i="2"/>
  <c r="DC38" i="2"/>
  <c r="CZ22" i="2"/>
  <c r="DI22" i="2"/>
  <c r="DB9" i="2"/>
  <c r="DG9" i="2"/>
  <c r="DF22" i="2"/>
  <c r="DH9" i="2"/>
  <c r="DI38" i="2"/>
  <c r="DB22" i="2"/>
  <c r="DB38" i="2"/>
  <c r="Z15" i="4" l="1"/>
  <c r="F36" i="5"/>
  <c r="E36" i="5" s="1"/>
  <c r="AI17" i="4" s="1"/>
  <c r="F41" i="5"/>
  <c r="AJ22" i="4" s="1"/>
  <c r="F35" i="5"/>
  <c r="E35" i="5" s="1"/>
  <c r="AI16" i="4" s="1"/>
  <c r="AA16" i="4"/>
  <c r="F37" i="5"/>
  <c r="AJ18" i="4" s="1"/>
  <c r="AA14" i="4"/>
  <c r="Y17" i="4"/>
  <c r="Y16" i="4"/>
  <c r="Y19" i="4"/>
  <c r="Z17" i="4"/>
  <c r="Y15" i="4"/>
  <c r="Z16" i="4"/>
  <c r="Y14" i="4"/>
  <c r="Z14" i="4"/>
  <c r="AA17" i="4"/>
  <c r="AA15" i="4"/>
  <c r="C24" i="4"/>
  <c r="G23" i="4"/>
  <c r="E23" i="4"/>
  <c r="H23" i="4"/>
  <c r="M21" i="4"/>
  <c r="V21" i="4" s="1"/>
  <c r="J23" i="4"/>
  <c r="F22" i="4"/>
  <c r="D22" i="4"/>
  <c r="I22" i="4" s="1"/>
  <c r="L22" i="4"/>
  <c r="K22" i="4"/>
  <c r="J24" i="4"/>
  <c r="DU38" i="2"/>
  <c r="DY22" i="2"/>
  <c r="DS38" i="2"/>
  <c r="DR38" i="2"/>
  <c r="DN22" i="2"/>
  <c r="DQ22" i="2"/>
  <c r="DV22" i="2"/>
  <c r="DT22" i="2"/>
  <c r="DT9" i="2"/>
  <c r="DU22" i="2"/>
  <c r="DY9" i="2"/>
  <c r="DN9" i="2"/>
  <c r="DS9" i="2"/>
  <c r="DQ9" i="2"/>
  <c r="DN38" i="2"/>
  <c r="DU9" i="2"/>
  <c r="DT38" i="2"/>
  <c r="DR22" i="2"/>
  <c r="DY38" i="2"/>
  <c r="DO22" i="2"/>
  <c r="DP9" i="2"/>
  <c r="DM38" i="2"/>
  <c r="DV38" i="2"/>
  <c r="DM22" i="2"/>
  <c r="DO9" i="2"/>
  <c r="EA5" i="2"/>
  <c r="DX38" i="2"/>
  <c r="DO38" i="2"/>
  <c r="DX22" i="2"/>
  <c r="DX9" i="2"/>
  <c r="DQ38" i="2"/>
  <c r="DR9" i="2"/>
  <c r="DM9" i="2"/>
  <c r="DP38" i="2"/>
  <c r="DW22" i="2"/>
  <c r="DW9" i="2"/>
  <c r="DS22" i="2"/>
  <c r="DW38" i="2"/>
  <c r="DP22" i="2"/>
  <c r="DV9" i="2"/>
  <c r="AC15" i="4" l="1"/>
  <c r="AD16" i="4"/>
  <c r="AB14" i="4"/>
  <c r="AC17" i="4"/>
  <c r="AC16" i="4"/>
  <c r="E37" i="5"/>
  <c r="AI18" i="4" s="1"/>
  <c r="AC14" i="4"/>
  <c r="AJ16" i="4"/>
  <c r="AJ17" i="4"/>
  <c r="F40" i="5"/>
  <c r="AJ21" i="4" s="1"/>
  <c r="AD15" i="4"/>
  <c r="AB15" i="4"/>
  <c r="AB16" i="4"/>
  <c r="AD14" i="4"/>
  <c r="AD17" i="4"/>
  <c r="AB17" i="4"/>
  <c r="F23" i="4"/>
  <c r="D23" i="4"/>
  <c r="I23" i="4" s="1"/>
  <c r="K23" i="4" s="1"/>
  <c r="L23" i="4"/>
  <c r="C25" i="4"/>
  <c r="J25" i="4" s="1"/>
  <c r="E24" i="4"/>
  <c r="G24" i="4"/>
  <c r="H24" i="4"/>
  <c r="M22" i="4"/>
  <c r="V22" i="4" s="1"/>
  <c r="EL38" i="2"/>
  <c r="EH9" i="2"/>
  <c r="EK9" i="2"/>
  <c r="EJ9" i="2"/>
  <c r="EG9" i="2"/>
  <c r="EA9" i="2"/>
  <c r="EE38" i="2"/>
  <c r="EL22" i="2"/>
  <c r="EI38" i="2"/>
  <c r="EI22" i="2"/>
  <c r="EF38" i="2"/>
  <c r="EI9" i="2"/>
  <c r="EJ22" i="2"/>
  <c r="EM38" i="2"/>
  <c r="EB9" i="2"/>
  <c r="EF22" i="2"/>
  <c r="ED38" i="2"/>
  <c r="EG38" i="2"/>
  <c r="EB38" i="2"/>
  <c r="EG22" i="2"/>
  <c r="EE22" i="2"/>
  <c r="ED22" i="2"/>
  <c r="EK22" i="2"/>
  <c r="EF9" i="2"/>
  <c r="EL9" i="2"/>
  <c r="EB22" i="2"/>
  <c r="EA38" i="2"/>
  <c r="EM22" i="2"/>
  <c r="EE9" i="2"/>
  <c r="EA22" i="2"/>
  <c r="ED9" i="2"/>
  <c r="EJ38" i="2"/>
  <c r="EC9" i="2"/>
  <c r="EM9" i="2"/>
  <c r="EC22" i="2"/>
  <c r="EH38" i="2"/>
  <c r="EC38" i="2"/>
  <c r="EH22" i="2"/>
  <c r="EK38" i="2"/>
  <c r="E40" i="5" l="1"/>
  <c r="AI21" i="4" s="1"/>
  <c r="F24" i="4"/>
  <c r="L24" i="4"/>
  <c r="D24" i="4"/>
  <c r="I24" i="4" s="1"/>
  <c r="K24" i="4" s="1"/>
  <c r="C26" i="4"/>
  <c r="E25" i="4"/>
  <c r="G25" i="4"/>
  <c r="H25" i="4"/>
  <c r="M23" i="4"/>
  <c r="V23" i="4" s="1"/>
  <c r="M24" i="4" l="1"/>
  <c r="J26" i="4"/>
  <c r="C27" i="4"/>
  <c r="J27" i="4" s="1"/>
  <c r="H26" i="4"/>
  <c r="E26" i="4"/>
  <c r="G26" i="4"/>
  <c r="F25" i="4"/>
  <c r="L25" i="4"/>
  <c r="D25" i="4"/>
  <c r="I25" i="4" s="1"/>
  <c r="K25" i="4" s="1"/>
  <c r="F26" i="4" l="1"/>
  <c r="L26" i="4"/>
  <c r="D26" i="4"/>
  <c r="I26" i="4" s="1"/>
  <c r="K26" i="4" s="1"/>
  <c r="V24" i="4"/>
  <c r="C28" i="4"/>
  <c r="N20" i="4" s="1"/>
  <c r="E27" i="4"/>
  <c r="G27" i="4"/>
  <c r="H27" i="4"/>
  <c r="M25" i="4"/>
  <c r="V25" i="4" s="1"/>
  <c r="N25" i="4"/>
  <c r="N23" i="4"/>
  <c r="J28" i="4" l="1"/>
  <c r="N22" i="4"/>
  <c r="T22" i="4" s="1"/>
  <c r="N21" i="4"/>
  <c r="N24" i="4"/>
  <c r="O24" i="4" s="1"/>
  <c r="Q25" i="4"/>
  <c r="O25" i="4"/>
  <c r="Q22" i="4"/>
  <c r="O22" i="4"/>
  <c r="C29" i="4"/>
  <c r="J29" i="4" s="1"/>
  <c r="H28" i="4"/>
  <c r="G28" i="4"/>
  <c r="E28" i="4"/>
  <c r="T21" i="4"/>
  <c r="Q21" i="4"/>
  <c r="O21" i="4"/>
  <c r="Q20" i="4"/>
  <c r="O20" i="4"/>
  <c r="T20" i="4"/>
  <c r="N26" i="4"/>
  <c r="M26" i="4"/>
  <c r="V26" i="4" s="1"/>
  <c r="T24" i="4"/>
  <c r="T23" i="4"/>
  <c r="O23" i="4"/>
  <c r="Q23" i="4"/>
  <c r="T25" i="4"/>
  <c r="F27" i="4"/>
  <c r="L27" i="4"/>
  <c r="D27" i="4"/>
  <c r="I27" i="4" s="1"/>
  <c r="K27" i="4" s="1"/>
  <c r="Q24" i="4" l="1"/>
  <c r="T26" i="4"/>
  <c r="O26" i="4"/>
  <c r="F28" i="4"/>
  <c r="L28" i="4"/>
  <c r="D28" i="4"/>
  <c r="I28" i="4" s="1"/>
  <c r="K28" i="4" s="1"/>
  <c r="C30" i="4"/>
  <c r="H29" i="4"/>
  <c r="E29" i="4"/>
  <c r="G29" i="4"/>
  <c r="Q26" i="4"/>
  <c r="N27" i="4"/>
  <c r="M27" i="4"/>
  <c r="R21" i="4"/>
  <c r="R24" i="4"/>
  <c r="P26" i="4"/>
  <c r="P22" i="4"/>
  <c r="P21" i="4"/>
  <c r="P25" i="4"/>
  <c r="R22" i="4"/>
  <c r="P23" i="4"/>
  <c r="R23" i="4"/>
  <c r="P20" i="4"/>
  <c r="P24" i="4"/>
  <c r="R25" i="4"/>
  <c r="R20" i="4"/>
  <c r="R26" i="4"/>
  <c r="Q27" i="4" l="1"/>
  <c r="O27" i="4"/>
  <c r="V27" i="4"/>
  <c r="T27" i="4"/>
  <c r="S22" i="4"/>
  <c r="S21" i="4"/>
  <c r="S23" i="4"/>
  <c r="S20" i="4"/>
  <c r="S24" i="4"/>
  <c r="S25" i="4"/>
  <c r="S26" i="4"/>
  <c r="F29" i="4"/>
  <c r="L29" i="4"/>
  <c r="D29" i="4"/>
  <c r="I29" i="4" s="1"/>
  <c r="K29" i="4" s="1"/>
  <c r="C31" i="4"/>
  <c r="J31" i="4" s="1"/>
  <c r="G30" i="4"/>
  <c r="E30" i="4"/>
  <c r="H30" i="4"/>
  <c r="J30" i="4"/>
  <c r="N28" i="4"/>
  <c r="M28" i="4"/>
  <c r="T28" i="4" s="1"/>
  <c r="R27" i="4"/>
  <c r="P27" i="4"/>
  <c r="S27" i="4" l="1"/>
  <c r="O28" i="4"/>
  <c r="AB30" i="4"/>
  <c r="Z30" i="4"/>
  <c r="AA30" i="4"/>
  <c r="AD30" i="4"/>
  <c r="Y30" i="4"/>
  <c r="AC30" i="4"/>
  <c r="Q28" i="4"/>
  <c r="D30" i="4"/>
  <c r="I30" i="4" s="1"/>
  <c r="L30" i="4"/>
  <c r="F30" i="4"/>
  <c r="K30" i="4"/>
  <c r="V28" i="4"/>
  <c r="C32" i="4"/>
  <c r="E31" i="4"/>
  <c r="G31" i="4"/>
  <c r="H31" i="4"/>
  <c r="Q29" i="4"/>
  <c r="X29" i="4"/>
  <c r="M29" i="4"/>
  <c r="V29" i="4"/>
  <c r="T29" i="4"/>
  <c r="U29" i="4"/>
  <c r="W29" i="4"/>
  <c r="O29" i="4"/>
  <c r="S29" i="4"/>
  <c r="P29" i="4"/>
  <c r="N29" i="4"/>
  <c r="R29" i="4"/>
  <c r="R28" i="4"/>
  <c r="P28" i="4"/>
  <c r="S28" i="4" l="1"/>
  <c r="D31" i="4"/>
  <c r="I31" i="4" s="1"/>
  <c r="K31" i="4"/>
  <c r="F31" i="4"/>
  <c r="L31" i="4"/>
  <c r="C33" i="4"/>
  <c r="E32" i="4"/>
  <c r="G32" i="4"/>
  <c r="H32" i="4"/>
  <c r="J32" i="4"/>
  <c r="W30" i="4"/>
  <c r="U30" i="4"/>
  <c r="P30" i="4"/>
  <c r="T30" i="4"/>
  <c r="R30" i="4"/>
  <c r="O30" i="4"/>
  <c r="X30" i="4"/>
  <c r="V30" i="4"/>
  <c r="S30" i="4"/>
  <c r="M30" i="4"/>
  <c r="Q30" i="4"/>
  <c r="N30" i="4"/>
  <c r="AB31" i="4"/>
  <c r="AA31" i="4"/>
  <c r="Z31" i="4"/>
  <c r="AD31" i="4"/>
  <c r="AC31" i="4"/>
  <c r="U27" i="4"/>
  <c r="U21" i="4"/>
  <c r="U22" i="4"/>
  <c r="U24" i="4"/>
  <c r="U20" i="4"/>
  <c r="U25" i="4"/>
  <c r="U26" i="4"/>
  <c r="U23" i="4"/>
  <c r="U28" i="4"/>
  <c r="D32" i="4" l="1"/>
  <c r="I32" i="4" s="1"/>
  <c r="K32" i="4" s="1"/>
  <c r="F32" i="4"/>
  <c r="L32" i="4"/>
  <c r="C34" i="4"/>
  <c r="E33" i="4"/>
  <c r="G33" i="4"/>
  <c r="H33" i="4"/>
  <c r="J33" i="4"/>
  <c r="X31" i="4"/>
  <c r="N31" i="4"/>
  <c r="V31" i="4"/>
  <c r="T31" i="4"/>
  <c r="U31" i="4"/>
  <c r="Q31" i="4"/>
  <c r="S31" i="4"/>
  <c r="W31" i="4"/>
  <c r="O31" i="4"/>
  <c r="R31" i="4"/>
  <c r="M31" i="4"/>
  <c r="P31" i="4"/>
  <c r="W23" i="4"/>
  <c r="W22" i="4"/>
  <c r="W24" i="4"/>
  <c r="W26" i="4"/>
  <c r="W20" i="4"/>
  <c r="W25" i="4"/>
  <c r="W28" i="4"/>
  <c r="W21" i="4"/>
  <c r="W27" i="4"/>
  <c r="X21" i="4" l="1"/>
  <c r="J35" i="5" s="1"/>
  <c r="X28" i="4"/>
  <c r="X20" i="4"/>
  <c r="Y27" i="4" s="1"/>
  <c r="X27" i="4"/>
  <c r="X22" i="4"/>
  <c r="X26" i="4"/>
  <c r="X24" i="4"/>
  <c r="X23" i="4"/>
  <c r="X25" i="4"/>
  <c r="F33" i="4"/>
  <c r="D33" i="4"/>
  <c r="I33" i="4" s="1"/>
  <c r="L33" i="4"/>
  <c r="C35" i="4"/>
  <c r="H34" i="4"/>
  <c r="E34" i="4"/>
  <c r="G34" i="4"/>
  <c r="J34" i="4"/>
  <c r="M32" i="4"/>
  <c r="V32" i="4" s="1"/>
  <c r="AA27" i="4"/>
  <c r="K33" i="4"/>
  <c r="J35" i="4"/>
  <c r="Z21" i="4" l="1"/>
  <c r="AA20" i="4"/>
  <c r="Y20" i="4"/>
  <c r="J36" i="5"/>
  <c r="AJ30" i="4" s="1"/>
  <c r="Y21" i="4"/>
  <c r="Z22" i="4"/>
  <c r="Z20" i="4"/>
  <c r="AA21" i="4"/>
  <c r="J38" i="5"/>
  <c r="I38" i="5" s="1"/>
  <c r="AI32" i="4" s="1"/>
  <c r="Z27" i="4"/>
  <c r="AC27" i="4" s="1"/>
  <c r="Y23" i="4"/>
  <c r="Y22" i="4"/>
  <c r="Z23" i="4"/>
  <c r="Y26" i="4"/>
  <c r="Z29" i="4"/>
  <c r="AA25" i="4"/>
  <c r="AA22" i="4"/>
  <c r="Y29" i="4"/>
  <c r="Y31" i="4"/>
  <c r="AA24" i="4"/>
  <c r="Z28" i="4"/>
  <c r="AA26" i="4"/>
  <c r="AA28" i="4"/>
  <c r="J37" i="5"/>
  <c r="I37" i="5" s="1"/>
  <c r="AI31" i="4" s="1"/>
  <c r="Z25" i="4"/>
  <c r="J41" i="5"/>
  <c r="Y25" i="4"/>
  <c r="J39" i="5"/>
  <c r="I39" i="5" s="1"/>
  <c r="AI33" i="4" s="1"/>
  <c r="Y24" i="4"/>
  <c r="Z24" i="4"/>
  <c r="AA29" i="4"/>
  <c r="AB29" i="4" s="1"/>
  <c r="AA23" i="4"/>
  <c r="Z26" i="4"/>
  <c r="Y28" i="4"/>
  <c r="I35" i="5"/>
  <c r="AI29" i="4" s="1"/>
  <c r="AJ29" i="4"/>
  <c r="F34" i="4"/>
  <c r="D34" i="4"/>
  <c r="I34" i="4" s="1"/>
  <c r="K34" i="4" s="1"/>
  <c r="L34" i="4"/>
  <c r="C36" i="4"/>
  <c r="J36" i="4" s="1"/>
  <c r="E35" i="4"/>
  <c r="H35" i="4"/>
  <c r="G35" i="4"/>
  <c r="M33" i="4"/>
  <c r="V33" i="4" s="1"/>
  <c r="AD21" i="4" l="1"/>
  <c r="AB20" i="4"/>
  <c r="AB26" i="4"/>
  <c r="I36" i="5"/>
  <c r="AI30" i="4" s="1"/>
  <c r="AB21" i="4"/>
  <c r="AD22" i="4"/>
  <c r="AC21" i="4"/>
  <c r="AC20" i="4"/>
  <c r="AD20" i="4"/>
  <c r="AB24" i="4"/>
  <c r="AD27" i="4"/>
  <c r="AB27" i="4"/>
  <c r="AC24" i="4"/>
  <c r="AD24" i="4"/>
  <c r="AJ32" i="4"/>
  <c r="AB23" i="4"/>
  <c r="AD28" i="4"/>
  <c r="AB25" i="4"/>
  <c r="AD23" i="4"/>
  <c r="AC28" i="4"/>
  <c r="AC26" i="4"/>
  <c r="AC22" i="4"/>
  <c r="AJ31" i="4"/>
  <c r="AB28" i="4"/>
  <c r="AD29" i="4"/>
  <c r="J40" i="5"/>
  <c r="AJ34" i="4" s="1"/>
  <c r="AB22" i="4"/>
  <c r="AC29" i="4"/>
  <c r="AC25" i="4"/>
  <c r="AD25" i="4"/>
  <c r="AJ33" i="4"/>
  <c r="AD26" i="4"/>
  <c r="AC23" i="4"/>
  <c r="AJ35" i="4"/>
  <c r="N32" i="4"/>
  <c r="O32" i="4" s="1"/>
  <c r="F35" i="4"/>
  <c r="D35" i="4"/>
  <c r="I35" i="4" s="1"/>
  <c r="L35" i="4"/>
  <c r="C37" i="4"/>
  <c r="H36" i="4"/>
  <c r="E36" i="4"/>
  <c r="G36" i="4"/>
  <c r="M34" i="4"/>
  <c r="V34" i="4" s="1"/>
  <c r="N34" i="4"/>
  <c r="N33" i="4"/>
  <c r="K35" i="4"/>
  <c r="Q32" i="4"/>
  <c r="I40" i="5" l="1"/>
  <c r="AI34" i="4" s="1"/>
  <c r="T32" i="4"/>
  <c r="T34" i="4"/>
  <c r="O34" i="4"/>
  <c r="Q34" i="4"/>
  <c r="F36" i="4"/>
  <c r="L36" i="4"/>
  <c r="D36" i="4"/>
  <c r="I36" i="4" s="1"/>
  <c r="C38" i="4"/>
  <c r="H37" i="4"/>
  <c r="G37" i="4"/>
  <c r="E37" i="4"/>
  <c r="O33" i="4"/>
  <c r="Q33" i="4"/>
  <c r="T33" i="4"/>
  <c r="K36" i="4"/>
  <c r="J37" i="4"/>
  <c r="M35" i="4"/>
  <c r="V35" i="4" s="1"/>
  <c r="N35" i="4"/>
  <c r="P33" i="4"/>
  <c r="P32" i="4"/>
  <c r="R32" i="4"/>
  <c r="R33" i="4"/>
  <c r="R34" i="4"/>
  <c r="P34" i="4"/>
  <c r="S32" i="4" l="1"/>
  <c r="S33" i="4"/>
  <c r="S34" i="4"/>
  <c r="C39" i="4"/>
  <c r="G38" i="4"/>
  <c r="H38" i="4"/>
  <c r="E38" i="4"/>
  <c r="T35" i="4"/>
  <c r="M36" i="4"/>
  <c r="N36" i="4"/>
  <c r="J38" i="4"/>
  <c r="Q35" i="4"/>
  <c r="O35" i="4"/>
  <c r="F37" i="4"/>
  <c r="L37" i="4"/>
  <c r="D37" i="4"/>
  <c r="I37" i="4" s="1"/>
  <c r="K37" i="4" s="1"/>
  <c r="J39" i="4"/>
  <c r="R35" i="4"/>
  <c r="P35" i="4"/>
  <c r="O36" i="4" l="1"/>
  <c r="S35" i="4"/>
  <c r="F38" i="4"/>
  <c r="L38" i="4"/>
  <c r="D38" i="4"/>
  <c r="I38" i="4" s="1"/>
  <c r="K38" i="4"/>
  <c r="T36" i="4"/>
  <c r="Z38" i="4"/>
  <c r="Y38" i="4"/>
  <c r="AD38" i="4"/>
  <c r="AA38" i="4"/>
  <c r="AC38" i="4"/>
  <c r="AB38" i="4"/>
  <c r="Q36" i="4"/>
  <c r="V36" i="4"/>
  <c r="C40" i="4"/>
  <c r="J40" i="4" s="1"/>
  <c r="G39" i="4"/>
  <c r="H39" i="4"/>
  <c r="E39" i="4"/>
  <c r="M37" i="4"/>
  <c r="Q37" i="4"/>
  <c r="V37" i="4"/>
  <c r="R37" i="4"/>
  <c r="X37" i="4"/>
  <c r="P37" i="4"/>
  <c r="U37" i="4"/>
  <c r="O37" i="4"/>
  <c r="W37" i="4"/>
  <c r="S37" i="4"/>
  <c r="N37" i="4"/>
  <c r="T37" i="4"/>
  <c r="R36" i="4"/>
  <c r="P36" i="4"/>
  <c r="S36" i="4" l="1"/>
  <c r="C41" i="4"/>
  <c r="E40" i="4"/>
  <c r="G40" i="4"/>
  <c r="H40" i="4"/>
  <c r="L39" i="4"/>
  <c r="D39" i="4"/>
  <c r="I39" i="4" s="1"/>
  <c r="K39" i="4"/>
  <c r="T38" i="4"/>
  <c r="N38" i="4"/>
  <c r="R38" i="4"/>
  <c r="S38" i="4"/>
  <c r="P38" i="4"/>
  <c r="V38" i="4"/>
  <c r="U38" i="4"/>
  <c r="M38" i="4"/>
  <c r="W38" i="4"/>
  <c r="X38" i="4"/>
  <c r="Q38" i="4"/>
  <c r="O38" i="4"/>
  <c r="Y39" i="4"/>
  <c r="Z39" i="4"/>
  <c r="AD39" i="4"/>
  <c r="AC39" i="4"/>
  <c r="AA39" i="4"/>
  <c r="AB39" i="4"/>
  <c r="F39" i="4"/>
  <c r="J41" i="4"/>
  <c r="U33" i="4"/>
  <c r="U34" i="4"/>
  <c r="U32" i="4"/>
  <c r="U36" i="4"/>
  <c r="U35" i="4"/>
  <c r="AB40" i="4" l="1"/>
  <c r="Z40" i="4"/>
  <c r="Y40" i="4"/>
  <c r="AD40" i="4"/>
  <c r="AA40" i="4"/>
  <c r="AC40" i="4"/>
  <c r="K40" i="4"/>
  <c r="F40" i="4"/>
  <c r="L40" i="4"/>
  <c r="D40" i="4"/>
  <c r="I40" i="4" s="1"/>
  <c r="C42" i="4"/>
  <c r="E41" i="4"/>
  <c r="G41" i="4"/>
  <c r="H41" i="4"/>
  <c r="S39" i="4"/>
  <c r="V39" i="4"/>
  <c r="M39" i="4"/>
  <c r="Q39" i="4"/>
  <c r="X39" i="4"/>
  <c r="W39" i="4"/>
  <c r="R39" i="4"/>
  <c r="N39" i="4"/>
  <c r="U39" i="4"/>
  <c r="P39" i="4"/>
  <c r="O39" i="4"/>
  <c r="T39" i="4"/>
  <c r="J42" i="4"/>
  <c r="W36" i="4"/>
  <c r="W35" i="4"/>
  <c r="W32" i="4"/>
  <c r="W33" i="4"/>
  <c r="W34" i="4"/>
  <c r="X36" i="4" l="1"/>
  <c r="X33" i="4"/>
  <c r="N37" i="5" s="1"/>
  <c r="X32" i="4"/>
  <c r="Y36" i="4" s="1"/>
  <c r="X35" i="4"/>
  <c r="X34" i="4"/>
  <c r="T40" i="4"/>
  <c r="U40" i="4"/>
  <c r="W40" i="4"/>
  <c r="S40" i="4"/>
  <c r="P40" i="4"/>
  <c r="N40" i="4"/>
  <c r="Q40" i="4"/>
  <c r="R40" i="4"/>
  <c r="M40" i="4"/>
  <c r="V40" i="4"/>
  <c r="O40" i="4"/>
  <c r="X40" i="4"/>
  <c r="C43" i="4"/>
  <c r="J43" i="4" s="1"/>
  <c r="E42" i="4"/>
  <c r="G42" i="4"/>
  <c r="H42" i="4"/>
  <c r="AB41" i="4"/>
  <c r="Z41" i="4"/>
  <c r="Y41" i="4"/>
  <c r="AD41" i="4"/>
  <c r="AC41" i="4"/>
  <c r="AA41" i="4"/>
  <c r="L41" i="4"/>
  <c r="F41" i="4"/>
  <c r="K41" i="4"/>
  <c r="D41" i="4"/>
  <c r="I41" i="4" s="1"/>
  <c r="N39" i="5"/>
  <c r="Y34" i="4" l="1"/>
  <c r="N35" i="5"/>
  <c r="M35" i="5" s="1"/>
  <c r="AP29" i="4" s="1"/>
  <c r="N38" i="5"/>
  <c r="AQ32" i="4" s="1"/>
  <c r="Z34" i="4"/>
  <c r="AA34" i="4"/>
  <c r="Z36" i="4"/>
  <c r="N41" i="5"/>
  <c r="E25" i="5" s="1"/>
  <c r="E26" i="5" s="1"/>
  <c r="AA36" i="4"/>
  <c r="Z35" i="4"/>
  <c r="Z33" i="4"/>
  <c r="Y37" i="4"/>
  <c r="AA32" i="4"/>
  <c r="Y32" i="4"/>
  <c r="Y33" i="4"/>
  <c r="AA33" i="4"/>
  <c r="Z37" i="4"/>
  <c r="Y35" i="4"/>
  <c r="AA37" i="4"/>
  <c r="N36" i="5"/>
  <c r="AQ30" i="4" s="1"/>
  <c r="Z32" i="4"/>
  <c r="AA35" i="4"/>
  <c r="P41" i="4"/>
  <c r="T41" i="4"/>
  <c r="X41" i="4"/>
  <c r="O41" i="4"/>
  <c r="V41" i="4"/>
  <c r="M41" i="4"/>
  <c r="R41" i="4"/>
  <c r="S41" i="4"/>
  <c r="Q41" i="4"/>
  <c r="W41" i="4"/>
  <c r="U41" i="4"/>
  <c r="N41" i="4"/>
  <c r="Y42" i="4"/>
  <c r="AB42" i="4"/>
  <c r="AD42" i="4"/>
  <c r="AC42" i="4"/>
  <c r="Z42" i="4"/>
  <c r="AA42" i="4"/>
  <c r="K42" i="4"/>
  <c r="D42" i="4"/>
  <c r="I42" i="4" s="1"/>
  <c r="L42" i="4"/>
  <c r="F42" i="4"/>
  <c r="C44" i="4"/>
  <c r="J44" i="4" s="1"/>
  <c r="H43" i="4"/>
  <c r="E43" i="4"/>
  <c r="G43" i="4"/>
  <c r="M37" i="5"/>
  <c r="AP31" i="4" s="1"/>
  <c r="AQ31" i="4"/>
  <c r="M39" i="5"/>
  <c r="AP33" i="4" s="1"/>
  <c r="AQ33" i="4"/>
  <c r="M38" i="5" l="1"/>
  <c r="AP32" i="4" s="1"/>
  <c r="AB32" i="4"/>
  <c r="AQ29" i="4"/>
  <c r="AB36" i="4"/>
  <c r="E27" i="5"/>
  <c r="AC36" i="4"/>
  <c r="AD36" i="4"/>
  <c r="AB34" i="4"/>
  <c r="AC34" i="4"/>
  <c r="AD34" i="4"/>
  <c r="AD33" i="4"/>
  <c r="AC32" i="4"/>
  <c r="AD32" i="4"/>
  <c r="AQ35" i="4"/>
  <c r="AC37" i="4"/>
  <c r="AB35" i="4"/>
  <c r="AC33" i="4"/>
  <c r="AC35" i="4"/>
  <c r="AD35" i="4"/>
  <c r="AB33" i="4"/>
  <c r="AB37" i="4"/>
  <c r="M36" i="5"/>
  <c r="AP30" i="4" s="1"/>
  <c r="N40" i="5"/>
  <c r="AQ34" i="4" s="1"/>
  <c r="AD37" i="4"/>
  <c r="K43" i="4"/>
  <c r="D43" i="4"/>
  <c r="I43" i="4" s="1"/>
  <c r="F43" i="4"/>
  <c r="L43" i="4"/>
  <c r="W42" i="4"/>
  <c r="M42" i="4"/>
  <c r="Q42" i="4"/>
  <c r="U42" i="4"/>
  <c r="R42" i="4"/>
  <c r="V42" i="4"/>
  <c r="X42" i="4"/>
  <c r="N42" i="4"/>
  <c r="T42" i="4"/>
  <c r="O42" i="4"/>
  <c r="S42" i="4"/>
  <c r="P42" i="4"/>
  <c r="AD43" i="4"/>
  <c r="Z43" i="4"/>
  <c r="AC43" i="4"/>
  <c r="AB43" i="4"/>
  <c r="AA43" i="4"/>
  <c r="Y43" i="4"/>
  <c r="C45" i="4"/>
  <c r="H44" i="4"/>
  <c r="G44" i="4"/>
  <c r="E44" i="4"/>
  <c r="M40" i="5" l="1"/>
  <c r="AP34" i="4" s="1"/>
  <c r="C46" i="4"/>
  <c r="G45" i="4"/>
  <c r="H45" i="4"/>
  <c r="E45" i="4"/>
  <c r="AB44" i="4"/>
  <c r="AA44" i="4"/>
  <c r="AD44" i="4"/>
  <c r="Z44" i="4"/>
  <c r="AC44" i="4"/>
  <c r="Y44" i="4"/>
  <c r="X43" i="4"/>
  <c r="R43" i="4"/>
  <c r="N43" i="4"/>
  <c r="U43" i="4"/>
  <c r="P43" i="4"/>
  <c r="T43" i="4"/>
  <c r="W43" i="4"/>
  <c r="M43" i="4"/>
  <c r="Q43" i="4"/>
  <c r="S43" i="4"/>
  <c r="O43" i="4"/>
  <c r="V43" i="4"/>
  <c r="K44" i="4"/>
  <c r="L44" i="4"/>
  <c r="D44" i="4"/>
  <c r="I44" i="4" s="1"/>
  <c r="F44" i="4"/>
  <c r="J45" i="4"/>
  <c r="J46" i="4"/>
  <c r="F45" i="4" l="1"/>
  <c r="L45" i="4"/>
  <c r="D45" i="4"/>
  <c r="I45" i="4" s="1"/>
  <c r="K45" i="4"/>
  <c r="AD45" i="4"/>
  <c r="AA45" i="4"/>
  <c r="Z45" i="4"/>
  <c r="AC45" i="4"/>
  <c r="Y45" i="4"/>
  <c r="AB45" i="4"/>
  <c r="M44" i="4"/>
  <c r="T44" i="4"/>
  <c r="X44" i="4"/>
  <c r="W44" i="4"/>
  <c r="U44" i="4"/>
  <c r="N44" i="4"/>
  <c r="P44" i="4"/>
  <c r="V44" i="4"/>
  <c r="S44" i="4"/>
  <c r="Q44" i="4"/>
  <c r="O44" i="4"/>
  <c r="R44" i="4"/>
  <c r="C47" i="4"/>
  <c r="J47" i="4" s="1"/>
  <c r="G46" i="4"/>
  <c r="E46" i="4"/>
  <c r="H46" i="4"/>
  <c r="Y46" i="4" l="1"/>
  <c r="AC46" i="4"/>
  <c r="AA46" i="4"/>
  <c r="AB46" i="4"/>
  <c r="Z46" i="4"/>
  <c r="AD46" i="4"/>
  <c r="C48" i="4"/>
  <c r="G47" i="4"/>
  <c r="F47" i="4" s="1"/>
  <c r="E47" i="4"/>
  <c r="H47" i="4"/>
  <c r="K46" i="4"/>
  <c r="D46" i="4"/>
  <c r="I46" i="4" s="1"/>
  <c r="F46" i="4"/>
  <c r="L46" i="4"/>
  <c r="W45" i="4"/>
  <c r="Q45" i="4"/>
  <c r="M45" i="4"/>
  <c r="N45" i="4"/>
  <c r="U45" i="4"/>
  <c r="O45" i="4"/>
  <c r="V45" i="4"/>
  <c r="R45" i="4"/>
  <c r="X45" i="4"/>
  <c r="S45" i="4"/>
  <c r="T45" i="4"/>
  <c r="P45" i="4"/>
  <c r="C49" i="4" l="1"/>
  <c r="E48" i="4"/>
  <c r="G48" i="4"/>
  <c r="H48" i="4"/>
  <c r="M46" i="4"/>
  <c r="Q46" i="4"/>
  <c r="P46" i="4"/>
  <c r="X46" i="4"/>
  <c r="S46" i="4"/>
  <c r="W46" i="4"/>
  <c r="T46" i="4"/>
  <c r="U46" i="4"/>
  <c r="N46" i="4"/>
  <c r="O46" i="4"/>
  <c r="R46" i="4"/>
  <c r="V46" i="4"/>
  <c r="P47" i="4"/>
  <c r="W47" i="4"/>
  <c r="U47" i="4"/>
  <c r="R47" i="4"/>
  <c r="O47" i="4"/>
  <c r="N47" i="4"/>
  <c r="M47" i="4"/>
  <c r="X47" i="4"/>
  <c r="S47" i="4"/>
  <c r="Q47" i="4"/>
  <c r="V47" i="4"/>
  <c r="T47" i="4"/>
  <c r="J48" i="4"/>
  <c r="AB47" i="4"/>
  <c r="AA47" i="4"/>
  <c r="Y47" i="4"/>
  <c r="AD47" i="4"/>
  <c r="Z47" i="4"/>
  <c r="AC47" i="4"/>
  <c r="L47" i="4"/>
  <c r="K47" i="4"/>
  <c r="D47" i="4"/>
  <c r="I47" i="4" s="1"/>
  <c r="J49" i="4"/>
  <c r="AB48" i="4" l="1"/>
  <c r="Z48" i="4"/>
  <c r="AA48" i="4"/>
  <c r="Y48" i="4"/>
  <c r="AD48" i="4"/>
  <c r="AC48" i="4"/>
  <c r="K48" i="4"/>
  <c r="D48" i="4"/>
  <c r="I48" i="4" s="1"/>
  <c r="F48" i="4"/>
  <c r="L48" i="4"/>
  <c r="C50" i="4"/>
  <c r="D49" i="4"/>
  <c r="I49" i="4" s="1"/>
  <c r="G49" i="4"/>
  <c r="F49" i="4" s="1"/>
  <c r="H49" i="4"/>
  <c r="D50" i="4" l="1"/>
  <c r="I50" i="4" s="1"/>
  <c r="G50" i="4"/>
  <c r="H50" i="4"/>
  <c r="J50" i="4"/>
  <c r="P49" i="4"/>
  <c r="U49" i="4"/>
  <c r="O49" i="4"/>
  <c r="Q49" i="4"/>
  <c r="S49" i="4"/>
  <c r="X49" i="4"/>
  <c r="W49" i="4"/>
  <c r="V49" i="4"/>
  <c r="M49" i="4"/>
  <c r="R49" i="4"/>
  <c r="N49" i="4"/>
  <c r="T49" i="4"/>
  <c r="Y49" i="4"/>
  <c r="AA49" i="4"/>
  <c r="AD49" i="4"/>
  <c r="L49" i="4"/>
  <c r="Z49" i="4"/>
  <c r="K49" i="4"/>
  <c r="AB49" i="4"/>
  <c r="AC49" i="4"/>
  <c r="U48" i="4"/>
  <c r="S48" i="4"/>
  <c r="W48" i="4"/>
  <c r="Q48" i="4"/>
  <c r="X48" i="4"/>
  <c r="R48" i="4"/>
  <c r="N48" i="4"/>
  <c r="P48" i="4"/>
  <c r="V48" i="4"/>
  <c r="O48" i="4"/>
  <c r="T48" i="4"/>
  <c r="M48" i="4"/>
  <c r="F50" i="4" l="1"/>
  <c r="Y50" i="4"/>
  <c r="AA50" i="4"/>
  <c r="AD50" i="4"/>
  <c r="K50" i="4"/>
  <c r="AC50" i="4"/>
  <c r="Z50" i="4"/>
  <c r="L50" i="4"/>
  <c r="AB50" i="4"/>
  <c r="X50" i="4"/>
  <c r="W50" i="4"/>
  <c r="Q50" i="4"/>
  <c r="T50" i="4"/>
  <c r="O50" i="4"/>
  <c r="U50" i="4"/>
  <c r="M50" i="4"/>
  <c r="V50" i="4"/>
  <c r="S50" i="4"/>
  <c r="R50" i="4"/>
  <c r="P50" i="4"/>
  <c r="N50" i="4"/>
</calcChain>
</file>

<file path=xl/sharedStrings.xml><?xml version="1.0" encoding="utf-8"?>
<sst xmlns="http://schemas.openxmlformats.org/spreadsheetml/2006/main" count="333" uniqueCount="138">
  <si>
    <t>Configurações</t>
  </si>
  <si>
    <t>Planejamento Orçamentário</t>
  </si>
  <si>
    <t>Acompanhamento</t>
  </si>
  <si>
    <t>Dashboard</t>
  </si>
  <si>
    <t>Cálculos</t>
  </si>
  <si>
    <t>Dados</t>
  </si>
  <si>
    <t>Geral</t>
  </si>
  <si>
    <t xml:space="preserve">Ano Inicial: </t>
  </si>
  <si>
    <t>Defina o ano inicial (YYYY) no iinício e não altere novamente.</t>
  </si>
  <si>
    <t>Definir o ano inicial nas configurações ➔</t>
  </si>
  <si>
    <t>Informe a categoria da entrada...</t>
  </si>
  <si>
    <t>Entrada</t>
  </si>
  <si>
    <t>Total</t>
  </si>
  <si>
    <t>Trabalho</t>
  </si>
  <si>
    <t>Freelance</t>
  </si>
  <si>
    <t>Dividendos</t>
  </si>
  <si>
    <t>Faculdade</t>
  </si>
  <si>
    <t>Aluguel</t>
  </si>
  <si>
    <t>Energia Elétrica</t>
  </si>
  <si>
    <t>Informe a categoria da saída...</t>
  </si>
  <si>
    <t>Reserva de Emergência</t>
  </si>
  <si>
    <t>Tesouro Direto</t>
  </si>
  <si>
    <t>Ações</t>
  </si>
  <si>
    <t>Informe a categoria de investimento...</t>
  </si>
  <si>
    <t>Para ser alocado:</t>
  </si>
  <si>
    <t>Transporte</t>
  </si>
  <si>
    <t>Seguros</t>
  </si>
  <si>
    <t>Vestuário</t>
  </si>
  <si>
    <t>Saúde &amp; Academia</t>
  </si>
  <si>
    <t>Diversão &amp; Férias</t>
  </si>
  <si>
    <t>Streaming</t>
  </si>
  <si>
    <t>Previdência Privada</t>
  </si>
  <si>
    <t>LCI</t>
  </si>
  <si>
    <t>Data</t>
  </si>
  <si>
    <t>Tipo</t>
  </si>
  <si>
    <t>Categoria</t>
  </si>
  <si>
    <t>Montante</t>
  </si>
  <si>
    <t>Detalhes</t>
  </si>
  <si>
    <t>Saída</t>
  </si>
  <si>
    <t>Investimento</t>
  </si>
  <si>
    <t>Saldo</t>
  </si>
  <si>
    <t>Data Efetiva</t>
  </si>
  <si>
    <t>Acompanhamento &amp; Dashboard</t>
  </si>
  <si>
    <t>Entrada de Mês em Atraso</t>
  </si>
  <si>
    <t>Trocar Entrada em Atraso:</t>
  </si>
  <si>
    <t>Ativo</t>
  </si>
  <si>
    <t>Comece no dia X do mês:</t>
  </si>
  <si>
    <t>Ative esta opção para tratar as receitas trasadas recebidos em ou após um determinado dia do mês como receitas do mês seguinte. Esta opção é especialmente recomendada caso você receba suas rendas mensais ao final do mês, e prefira considerar a mesma como disponível para o próximo mês.</t>
  </si>
  <si>
    <t>Planilha: Acompanhamento</t>
  </si>
  <si>
    <t>Hoje:</t>
  </si>
  <si>
    <t>Último Registro:</t>
  </si>
  <si>
    <t>Delta Δ do Último Registro:</t>
  </si>
  <si>
    <t>#Registros:</t>
  </si>
  <si>
    <t>#Registros neste ano:</t>
  </si>
  <si>
    <t>#Acompanhamento - Saldo:</t>
  </si>
  <si>
    <t>Análise de Saldo:</t>
  </si>
  <si>
    <t>Ano</t>
  </si>
  <si>
    <t xml:space="preserve">Selecione o ano para visualizar ➔	 </t>
  </si>
  <si>
    <t>Período</t>
  </si>
  <si>
    <t xml:space="preserve">Selecione o período para visualizar ➔	 </t>
  </si>
  <si>
    <t>Lista Suspensa do Ano</t>
  </si>
  <si>
    <t>Ano Corrente</t>
  </si>
  <si>
    <t>Período da Lista Suspensa</t>
  </si>
  <si>
    <t>Ano Total</t>
  </si>
  <si>
    <t>Mês Corrente</t>
  </si>
  <si>
    <t>Planilha: Dashboard</t>
  </si>
  <si>
    <t>Ano Selecionado:</t>
  </si>
  <si>
    <t>Período Selecionado:</t>
  </si>
  <si>
    <t>Período Selecionado (Display):</t>
  </si>
  <si>
    <t>row_id</t>
  </si>
  <si>
    <t>header_row_id</t>
  </si>
  <si>
    <t>is_header</t>
  </si>
  <si>
    <t>is_cat</t>
  </si>
  <si>
    <t>is_total</t>
  </si>
  <si>
    <t>is_empty</t>
  </si>
  <si>
    <t>type</t>
  </si>
  <si>
    <t>item</t>
  </si>
  <si>
    <t>tracked</t>
  </si>
  <si>
    <t>budget</t>
  </si>
  <si>
    <t>sort_min_row</t>
  </si>
  <si>
    <t>sort_max_row</t>
  </si>
  <si>
    <t>tracked_range</t>
  </si>
  <si>
    <t>tracked_rank</t>
  </si>
  <si>
    <t>budget_range</t>
  </si>
  <si>
    <t>budget_rank</t>
  </si>
  <si>
    <t>comb_rank</t>
  </si>
  <si>
    <t>comb_rank_range</t>
  </si>
  <si>
    <t>comb_rank_norm_run_range</t>
  </si>
  <si>
    <t>comb_rank_norm</t>
  </si>
  <si>
    <t>comb_rank_unique</t>
  </si>
  <si>
    <t>sorted_row_id [Lookup]</t>
  </si>
  <si>
    <r>
      <rPr>
        <b/>
        <sz val="11"/>
        <color rgb="FF00B0F0"/>
        <rFont val="Urbanist"/>
        <family val="2"/>
      </rPr>
      <t>Cálculos de Gráfico:</t>
    </r>
    <r>
      <rPr>
        <sz val="11"/>
        <color rgb="FF00B0F0"/>
        <rFont val="Urbanist"/>
        <family val="2"/>
      </rPr>
      <t xml:space="preserve"> Distribuição de Categoria Gráficos</t>
    </r>
  </si>
  <si>
    <t>Mês</t>
  </si>
  <si>
    <r>
      <rPr>
        <b/>
        <sz val="11"/>
        <color rgb="FF00B0F0"/>
        <rFont val="Urbanist"/>
        <family val="2"/>
      </rPr>
      <t>Cálculos de Gráfico:</t>
    </r>
    <r>
      <rPr>
        <sz val="11"/>
        <color rgb="FF00B0F0"/>
        <rFont val="Urbanist"/>
        <family val="2"/>
      </rPr>
      <t xml:space="preserve"> Realizados (vs. Orçamento) Gráfico</t>
    </r>
  </si>
  <si>
    <t>Em Foco</t>
  </si>
  <si>
    <t>Mostrar Tipo</t>
  </si>
  <si>
    <t>Mostrar Orçamento</t>
  </si>
  <si>
    <t>Orçamento Realizado</t>
  </si>
  <si>
    <t>Delta</t>
  </si>
  <si>
    <t>Período em Foco</t>
  </si>
  <si>
    <t>No Orçamento</t>
  </si>
  <si>
    <t>Restante</t>
  </si>
  <si>
    <t>Excedente</t>
  </si>
  <si>
    <t>Período fora do Foco</t>
  </si>
  <si>
    <t>Orçamento</t>
  </si>
  <si>
    <t>Num. Mês</t>
  </si>
  <si>
    <t>Exibir Entrada:</t>
  </si>
  <si>
    <t>Exibir Saída:</t>
  </si>
  <si>
    <t>Exibir Investimento:</t>
  </si>
  <si>
    <t>Exibir Rem. Orçamento:</t>
  </si>
  <si>
    <t>Dias no Período:</t>
  </si>
  <si>
    <t>Dias passados no Período:</t>
  </si>
  <si>
    <t>Dias passados no Período (%):</t>
  </si>
  <si>
    <t>Saldo de Acompanhamento do Período:</t>
  </si>
  <si>
    <t>Taxa de Investimento do Período:</t>
  </si>
  <si>
    <t>Cálculo de KPI - Dashboard</t>
  </si>
  <si>
    <t>Taxa de Investimento em % da Renda:</t>
  </si>
  <si>
    <t>% alocado para Investimento</t>
  </si>
  <si>
    <t>Escolha como deseja que a taxa de economia (TE) seja calculada nos blocos de KPI do Dashboard.
1) Opção Ativa (% alocado para investimento)              TE = Economia / Entradas
2) Opção Passiva (% não alocado para despesa)         TE = (Entrada - Saída) / Entrada</t>
  </si>
  <si>
    <t>ID</t>
  </si>
  <si>
    <t>Nome</t>
  </si>
  <si>
    <t>Senha</t>
  </si>
  <si>
    <t>Base de Usuários</t>
  </si>
  <si>
    <t>Usuário</t>
  </si>
  <si>
    <t>Permissão</t>
  </si>
  <si>
    <t>Bruno Fiocchi</t>
  </si>
  <si>
    <t>bruno</t>
  </si>
  <si>
    <t>Administrador</t>
  </si>
  <si>
    <t>Analista</t>
  </si>
  <si>
    <t>Tudo</t>
  </si>
  <si>
    <t>Assistente</t>
  </si>
  <si>
    <t>Planejamento Orçamentário, Acompanhamento e Dashboard</t>
  </si>
  <si>
    <t>Usuário Logado:</t>
  </si>
  <si>
    <t xml:space="preserve">Permissão: </t>
  </si>
  <si>
    <t>Caio Mastrodomenico</t>
  </si>
  <si>
    <t>caiom</t>
  </si>
  <si>
    <t xml:space="preserve">Thaís Fernandes </t>
  </si>
  <si>
    <t>thaisfmr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</si>
</sst>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0_);_(* \(#,##0.00\);_(* &quot;-&quot;??_);_(@_)"/>
    <numFmt numFmtId="165" formatCode="mmm"/>
    <numFmt numFmtId="166" formatCode="_-&quot;R$&quot;\ * #,##0_-;\-&quot;R$&quot;\ * #,##0_-;_-&quot;R$&quot;\ * &quot;-&quot;??_-;_-@_-"/>
    <numFmt numFmtId="167" formatCode="d/mmm/yy"/>
    <numFmt numFmtId="168" formatCode="mmmm"/>
    <numFmt numFmtId="169" formatCode="_-* #,##0_-;\-* #,##0_-;_-* &quot;-&quot;??_-;_-@_-"/>
    <numFmt numFmtId="170" formatCode="0.0%"/>
  </numFmts>
  <fonts count="30">
    <font>
      <sz val="11"/>
      <color theme="1"/>
      <name val="Calibri"/>
      <family val="2"/>
      <scheme val="minor"/>
    </font>
    <font>
      <sz val="11"/>
      <color theme="1"/>
      <name val="Urbanist"/>
      <family val="2"/>
    </font>
    <font>
      <b/>
      <sz val="11"/>
      <color theme="0"/>
      <name val="Urbanist"/>
      <family val="2"/>
    </font>
    <font>
      <b/>
      <sz val="20"/>
      <color theme="0"/>
      <name val="Urbanist"/>
      <family val="2"/>
    </font>
    <font>
      <b/>
      <sz val="11"/>
      <color theme="1"/>
      <name val="Urbanist"/>
      <family val="2"/>
    </font>
    <font>
      <sz val="10"/>
      <color theme="1"/>
      <name val="Urbanist"/>
      <family val="2"/>
    </font>
    <font>
      <i/>
      <sz val="9"/>
      <color theme="0" tint="-0.499984740745262"/>
      <name val="Urbanist"/>
      <family val="2"/>
    </font>
    <font>
      <i/>
      <sz val="10"/>
      <color theme="0" tint="-0.499984740745262"/>
      <name val="Urbanist"/>
      <family val="2"/>
    </font>
    <font>
      <b/>
      <sz val="10"/>
      <color theme="0"/>
      <name val="Urbanist"/>
      <family val="2"/>
    </font>
    <font>
      <sz val="10"/>
      <color theme="0" tint="-0.34998626667073579"/>
      <name val="Urbanist"/>
      <family val="2"/>
    </font>
    <font>
      <b/>
      <sz val="10"/>
      <color theme="1"/>
      <name val="Urbanist"/>
      <family val="2"/>
    </font>
    <font>
      <b/>
      <sz val="10"/>
      <color theme="0" tint="-0.34998626667073579"/>
      <name val="Urbanist"/>
      <family val="2"/>
    </font>
    <font>
      <i/>
      <sz val="10"/>
      <name val="Urbanist"/>
      <family val="2"/>
    </font>
    <font>
      <sz val="10"/>
      <color theme="0" tint="-0.499984740745262"/>
      <name val="Urbanist"/>
      <family val="2"/>
    </font>
    <font>
      <sz val="11"/>
      <color theme="0" tint="-0.499984740745262"/>
      <name val="Urbanist"/>
      <family val="2"/>
    </font>
    <font>
      <b/>
      <sz val="12"/>
      <color rgb="FF070D7B"/>
      <name val="Urbanist"/>
      <family val="2"/>
    </font>
    <font>
      <sz val="10"/>
      <color theme="0" tint="-0.14999847407452621"/>
      <name val="Urbanist"/>
      <family val="2"/>
    </font>
    <font>
      <i/>
      <sz val="9"/>
      <color theme="0" tint="-0.34998626667073579"/>
      <name val="Urbanist"/>
      <family val="2"/>
    </font>
    <font>
      <sz val="8"/>
      <name val="Calibri"/>
      <family val="2"/>
      <scheme val="minor"/>
    </font>
    <font>
      <sz val="8"/>
      <color theme="1"/>
      <name val="Urbanist"/>
      <family val="2"/>
    </font>
    <font>
      <sz val="11"/>
      <color theme="1"/>
      <name val="Calibri"/>
      <family val="2"/>
      <scheme val="minor"/>
    </font>
    <font>
      <sz val="11"/>
      <color rgb="FF00B0F0"/>
      <name val="Urbanist"/>
      <family val="2"/>
    </font>
    <font>
      <b/>
      <sz val="11"/>
      <color rgb="FF00B0F0"/>
      <name val="Urbanist"/>
      <family val="2"/>
    </font>
    <font>
      <sz val="9"/>
      <color theme="1"/>
      <name val="Urbanist"/>
      <family val="2"/>
    </font>
    <font>
      <b/>
      <sz val="9"/>
      <color theme="1"/>
      <name val="Urbanist"/>
      <family val="2"/>
    </font>
    <font>
      <b/>
      <sz val="11"/>
      <color theme="1"/>
      <name val="Urabnist"/>
    </font>
    <font>
      <sz val="8"/>
      <color rgb="FF000000"/>
      <name val="Segoe UI"/>
      <family val="2"/>
    </font>
    <font>
      <b/>
      <sz val="11"/>
      <color theme="8" tint="0.39997558519241921"/>
      <name val="Urbanist"/>
      <family val="2"/>
    </font>
    <font>
      <sz val="11"/>
      <color theme="0" tint="-0.249977111117893"/>
      <name val="Urbanist"/>
      <family val="2"/>
    </font>
    <font>
      <u/>
      <sz val="11"/>
      <color theme="1"/>
      <name val="Urbanist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auto="1"/>
      </top>
      <bottom style="double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31">
    <xf numFmtId="0" fontId="0" fillId="0" borderId="0" xfId="0"/>
    <xf numFmtId="0" fontId="0" fillId="2" borderId="0" xfId="0" applyFill="1"/>
    <xf numFmtId="0" fontId="3" fillId="2" borderId="0" xfId="0" applyFont="1" applyFill="1"/>
    <xf numFmtId="0" fontId="1" fillId="0" borderId="1" xfId="0" applyFont="1" applyBorder="1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6" fillId="0" borderId="0" xfId="0" applyFont="1"/>
    <xf numFmtId="0" fontId="7" fillId="0" borderId="0" xfId="0" applyFont="1" applyAlignment="1">
      <alignment horizontal="right" vertical="center"/>
    </xf>
    <xf numFmtId="0" fontId="4" fillId="0" borderId="0" xfId="0" applyFont="1" applyAlignment="1">
      <alignment horizontal="left" indent="1"/>
    </xf>
    <xf numFmtId="0" fontId="4" fillId="0" borderId="6" xfId="0" applyFont="1" applyBorder="1" applyAlignment="1">
      <alignment horizontal="left" indent="1"/>
    </xf>
    <xf numFmtId="0" fontId="8" fillId="4" borderId="0" xfId="0" applyFont="1" applyFill="1" applyAlignment="1">
      <alignment horizontal="center" vertical="center"/>
    </xf>
    <xf numFmtId="165" fontId="8" fillId="4" borderId="0" xfId="0" applyNumberFormat="1" applyFont="1" applyFill="1" applyAlignment="1">
      <alignment horizontal="center" vertical="center"/>
    </xf>
    <xf numFmtId="166" fontId="5" fillId="0" borderId="6" xfId="0" applyNumberFormat="1" applyFont="1" applyBorder="1"/>
    <xf numFmtId="0" fontId="9" fillId="0" borderId="0" xfId="0" applyFont="1" applyAlignment="1">
      <alignment horizontal="left" indent="1"/>
    </xf>
    <xf numFmtId="166" fontId="9" fillId="0" borderId="6" xfId="0" applyNumberFormat="1" applyFont="1" applyBorder="1"/>
    <xf numFmtId="166" fontId="10" fillId="0" borderId="6" xfId="0" applyNumberFormat="1" applyFont="1" applyBorder="1"/>
    <xf numFmtId="166" fontId="11" fillId="0" borderId="6" xfId="0" applyNumberFormat="1" applyFont="1" applyBorder="1"/>
    <xf numFmtId="165" fontId="8" fillId="5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165" fontId="8" fillId="6" borderId="0" xfId="0" applyNumberFormat="1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10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5" fillId="0" borderId="0" xfId="0" applyNumberFormat="1" applyFont="1" applyAlignment="1">
      <alignment horizontal="left" indent="1"/>
    </xf>
    <xf numFmtId="0" fontId="13" fillId="0" borderId="0" xfId="0" applyFont="1" applyAlignment="1">
      <alignment horizontal="left" indent="1"/>
    </xf>
    <xf numFmtId="166" fontId="13" fillId="0" borderId="0" xfId="0" applyNumberFormat="1" applyFont="1" applyAlignment="1">
      <alignment horizontal="left" indent="1"/>
    </xf>
    <xf numFmtId="0" fontId="14" fillId="7" borderId="0" xfId="0" applyFont="1" applyFill="1" applyAlignment="1">
      <alignment horizontal="left" vertical="center" indent="1"/>
    </xf>
    <xf numFmtId="0" fontId="1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7" fontId="16" fillId="0" borderId="0" xfId="0" applyNumberFormat="1" applyFont="1" applyAlignment="1">
      <alignment horizontal="right" wrapText="1" indent="1"/>
    </xf>
    <xf numFmtId="167" fontId="16" fillId="0" borderId="0" xfId="0" applyNumberFormat="1" applyFont="1" applyAlignment="1">
      <alignment horizontal="right" indent="1"/>
    </xf>
    <xf numFmtId="167" fontId="1" fillId="0" borderId="0" xfId="0" applyNumberFormat="1" applyFont="1"/>
    <xf numFmtId="0" fontId="4" fillId="8" borderId="0" xfId="0" applyFont="1" applyFill="1"/>
    <xf numFmtId="0" fontId="17" fillId="0" borderId="0" xfId="0" applyFont="1" applyAlignment="1">
      <alignment horizontal="left" vertical="center" indent="1"/>
    </xf>
    <xf numFmtId="0" fontId="2" fillId="8" borderId="0" xfId="0" applyFont="1" applyFill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8" fontId="5" fillId="0" borderId="10" xfId="0" applyNumberFormat="1" applyFont="1" applyBorder="1" applyAlignment="1">
      <alignment horizontal="center" vertical="center"/>
    </xf>
    <xf numFmtId="168" fontId="5" fillId="0" borderId="7" xfId="0" applyNumberFormat="1" applyFont="1" applyBorder="1" applyAlignment="1">
      <alignment horizontal="center" vertical="center"/>
    </xf>
    <xf numFmtId="0" fontId="4" fillId="0" borderId="12" xfId="0" applyFont="1" applyBorder="1"/>
    <xf numFmtId="0" fontId="19" fillId="7" borderId="0" xfId="0" applyFont="1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0" fillId="9" borderId="0" xfId="0" applyFill="1"/>
    <xf numFmtId="0" fontId="3" fillId="9" borderId="0" xfId="0" applyFont="1" applyFill="1"/>
    <xf numFmtId="0" fontId="0" fillId="10" borderId="0" xfId="0" applyFill="1"/>
    <xf numFmtId="0" fontId="3" fillId="10" borderId="0" xfId="0" applyFont="1" applyFill="1"/>
    <xf numFmtId="166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12" xfId="0" applyFont="1" applyBorder="1" applyAlignment="1">
      <alignment horizontal="right"/>
    </xf>
    <xf numFmtId="166" fontId="0" fillId="0" borderId="0" xfId="0" applyNumberFormat="1" applyAlignment="1">
      <alignment wrapText="1"/>
    </xf>
    <xf numFmtId="166" fontId="0" fillId="0" borderId="2" xfId="0" applyNumberFormat="1" applyBorder="1"/>
    <xf numFmtId="0" fontId="19" fillId="7" borderId="10" xfId="0" applyFont="1" applyFill="1" applyBorder="1" applyAlignment="1">
      <alignment horizontal="center" vertical="center"/>
    </xf>
    <xf numFmtId="0" fontId="0" fillId="0" borderId="10" xfId="0" applyBorder="1"/>
    <xf numFmtId="0" fontId="5" fillId="0" borderId="0" xfId="0" applyFont="1" applyAlignment="1">
      <alignment vertical="center"/>
    </xf>
    <xf numFmtId="9" fontId="5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166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66" fontId="10" fillId="0" borderId="0" xfId="0" applyNumberFormat="1" applyFont="1" applyAlignment="1">
      <alignment horizontal="center" vertical="center"/>
    </xf>
    <xf numFmtId="9" fontId="10" fillId="0" borderId="0" xfId="2" applyFont="1" applyAlignment="1">
      <alignment horizontal="center" vertical="center"/>
    </xf>
    <xf numFmtId="0" fontId="8" fillId="0" borderId="0" xfId="0" applyFont="1" applyAlignment="1">
      <alignment vertical="center"/>
    </xf>
    <xf numFmtId="166" fontId="8" fillId="0" borderId="0" xfId="0" applyNumberFormat="1" applyFont="1" applyAlignment="1">
      <alignment horizontal="center" vertical="center"/>
    </xf>
    <xf numFmtId="9" fontId="8" fillId="0" borderId="0" xfId="2" applyFont="1" applyAlignment="1">
      <alignment horizontal="center" vertical="center"/>
    </xf>
    <xf numFmtId="0" fontId="0" fillId="0" borderId="13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21" fillId="0" borderId="15" xfId="0" applyFont="1" applyBorder="1"/>
    <xf numFmtId="0" fontId="4" fillId="0" borderId="1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17" xfId="0" applyFont="1" applyBorder="1" applyAlignment="1">
      <alignment horizontal="center"/>
    </xf>
    <xf numFmtId="169" fontId="1" fillId="0" borderId="0" xfId="1" applyNumberFormat="1" applyFont="1" applyAlignment="1">
      <alignment horizontal="center"/>
    </xf>
    <xf numFmtId="169" fontId="1" fillId="0" borderId="17" xfId="1" applyNumberFormat="1" applyFont="1" applyBorder="1" applyAlignment="1">
      <alignment horizontal="center"/>
    </xf>
    <xf numFmtId="169" fontId="4" fillId="0" borderId="0" xfId="1" applyNumberFormat="1" applyFont="1" applyAlignment="1">
      <alignment horizontal="center"/>
    </xf>
    <xf numFmtId="0" fontId="23" fillId="0" borderId="0" xfId="0" applyFont="1" applyAlignment="1">
      <alignment horizontal="left" vertical="center" indent="1"/>
    </xf>
    <xf numFmtId="169" fontId="23" fillId="0" borderId="0" xfId="1" applyNumberFormat="1" applyFont="1" applyBorder="1" applyAlignment="1">
      <alignment vertical="center"/>
    </xf>
    <xf numFmtId="0" fontId="24" fillId="0" borderId="18" xfId="0" applyFont="1" applyBorder="1" applyAlignment="1">
      <alignment horizontal="left" vertical="center" indent="1"/>
    </xf>
    <xf numFmtId="169" fontId="24" fillId="0" borderId="18" xfId="1" applyNumberFormat="1" applyFont="1" applyBorder="1" applyAlignment="1">
      <alignment vertical="center"/>
    </xf>
    <xf numFmtId="0" fontId="25" fillId="0" borderId="0" xfId="0" applyFont="1" applyAlignment="1">
      <alignment horizontal="center"/>
    </xf>
    <xf numFmtId="0" fontId="6" fillId="0" borderId="0" xfId="0" applyFont="1" applyAlignment="1">
      <alignment horizontal="left" vertical="top" wrapText="1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10" fillId="0" borderId="0" xfId="0" applyFont="1"/>
    <xf numFmtId="0" fontId="5" fillId="0" borderId="0" xfId="0" applyFont="1"/>
    <xf numFmtId="166" fontId="1" fillId="0" borderId="0" xfId="1" applyNumberFormat="1" applyFont="1" applyBorder="1" applyAlignment="1">
      <alignment horizontal="center"/>
    </xf>
    <xf numFmtId="166" fontId="1" fillId="0" borderId="16" xfId="1" applyNumberFormat="1" applyFont="1" applyBorder="1" applyAlignment="1">
      <alignment horizontal="center"/>
    </xf>
    <xf numFmtId="9" fontId="1" fillId="0" borderId="0" xfId="2" applyFont="1"/>
    <xf numFmtId="169" fontId="1" fillId="0" borderId="0" xfId="0" applyNumberFormat="1" applyFont="1" applyAlignment="1">
      <alignment horizontal="right"/>
    </xf>
    <xf numFmtId="170" fontId="1" fillId="0" borderId="0" xfId="2" applyNumberFormat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7" borderId="0" xfId="0" applyFont="1" applyFill="1" applyAlignment="1">
      <alignment horizontal="left"/>
    </xf>
    <xf numFmtId="0" fontId="27" fillId="0" borderId="0" xfId="0" applyFont="1"/>
    <xf numFmtId="0" fontId="27" fillId="0" borderId="0" xfId="0" applyFont="1" applyAlignment="1">
      <alignment horizontal="right"/>
    </xf>
    <xf numFmtId="0" fontId="28" fillId="0" borderId="0" xfId="0" applyFont="1"/>
    <xf numFmtId="0" fontId="4" fillId="7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8" fillId="8" borderId="0" xfId="0" applyFont="1" applyFill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168" fontId="5" fillId="3" borderId="11" xfId="0" applyNumberFormat="1" applyFont="1" applyFill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8" fillId="2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81">
    <dxf>
      <font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i val="0"/>
        <strike val="0"/>
        <outline val="0"/>
        <shadow val="0"/>
        <u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rgb="FF9BE5FF"/>
        </patternFill>
      </fill>
    </dxf>
    <dxf>
      <fill>
        <patternFill>
          <bgColor rgb="FF5DD5FF"/>
        </patternFill>
      </fill>
    </dxf>
    <dxf>
      <fill>
        <patternFill>
          <bgColor rgb="FF47CFFF"/>
        </patternFill>
      </fill>
    </dxf>
    <dxf>
      <fill>
        <patternFill>
          <bgColor rgb="FF00B0F0"/>
        </patternFill>
      </fill>
    </dxf>
    <dxf>
      <fill>
        <patternFill>
          <bgColor theme="4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9C9"/>
        </patternFill>
      </fill>
    </dxf>
    <dxf>
      <fill>
        <patternFill>
          <bgColor rgb="FFFFB3B3"/>
        </patternFill>
      </fill>
    </dxf>
    <dxf>
      <fill>
        <patternFill>
          <bgColor rgb="FFFF8B8B"/>
        </patternFill>
      </fill>
    </dxf>
    <dxf>
      <fill>
        <patternFill>
          <bgColor rgb="FFFF5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BDFFDB"/>
        </patternFill>
      </fill>
    </dxf>
    <dxf>
      <fill>
        <patternFill>
          <bgColor rgb="FF79FFB6"/>
        </patternFill>
      </fill>
    </dxf>
    <dxf>
      <fill>
        <patternFill>
          <bgColor rgb="FF5DFFA6"/>
        </patternFill>
      </fill>
    </dxf>
    <dxf>
      <fill>
        <patternFill>
          <bgColor rgb="FF00F66F"/>
        </patternFill>
      </fill>
    </dxf>
    <dxf>
      <fill>
        <patternFill>
          <bgColor rgb="FF00B050"/>
        </patternFill>
      </fill>
    </dxf>
    <dxf>
      <fill>
        <patternFill>
          <bgColor rgb="FF71DAFF"/>
        </patternFill>
      </fill>
    </dxf>
    <dxf>
      <fill>
        <patternFill>
          <bgColor rgb="FFFF7C80"/>
        </patternFill>
      </fill>
    </dxf>
    <dxf>
      <fill>
        <patternFill>
          <bgColor rgb="FF01FF74"/>
        </patternFill>
      </fill>
    </dxf>
    <dxf>
      <font>
        <b/>
        <i val="0"/>
      </font>
      <border>
        <left/>
        <right/>
        <top style="thin">
          <color auto="1"/>
        </top>
        <bottom/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0"/>
        <color theme="0" tint="-0.14999847407452621"/>
        <name val="Urbanist"/>
        <family val="2"/>
        <scheme val="none"/>
      </font>
      <numFmt numFmtId="167" formatCode="d/mmm/yy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499984740745262"/>
        <name val="Urbanist"/>
        <family val="2"/>
        <scheme val="none"/>
      </font>
      <numFmt numFmtId="166" formatCode="_-&quot;R$&quot;\ * #,##0_-;\-&quot;R$&quot;\ * #,##0_-;_-&quot;R$&quot;\ * &quot;-&quot;??_-;_-@_-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499984740745262"/>
        <name val="Urbanist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Urbanist"/>
        <family val="2"/>
        <scheme val="none"/>
      </font>
      <numFmt numFmtId="166" formatCode="_-&quot;R$&quot;\ * #,##0_-;\-&quot;R$&quot;\ * #,##0_-;_-&quot;R$&quot;\ * &quot;-&quot;??_-;_-@_-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Urbanist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Urbanist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Urbanist"/>
        <family val="2"/>
        <scheme val="none"/>
      </font>
      <numFmt numFmtId="167" formatCode="d/mmm/yy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Urbanist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vertical="center" textRotation="0" wrapText="0" relativeIndent="1" justifyLastLine="0" shrinkToFit="0" readingOrder="0"/>
    </dxf>
    <dxf>
      <font>
        <color theme="0" tint="-0.499984740745262"/>
      </font>
      <numFmt numFmtId="171" formatCode="\➔\ d/mmm/yy"/>
    </dxf>
    <dxf>
      <font>
        <b/>
        <i val="0"/>
        <color rgb="FF00B050"/>
      </font>
      <numFmt numFmtId="172" formatCode="#,##0_ ;\-#,##0\ "/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rbanist"/>
        <family val="2"/>
        <scheme val="none"/>
      </font>
      <alignment horizontal="left" vertical="bottom" textRotation="0" wrapText="0" indent="1" justifyLastLine="0" shrinkToFit="0" readingOrder="0"/>
    </dxf>
    <dxf>
      <font>
        <color rgb="FF000000"/>
      </font>
      <fill>
        <patternFill>
          <bgColor rgb="FFCDF2FF"/>
        </patternFill>
      </fill>
    </dxf>
    <dxf>
      <font>
        <color rgb="FF000000"/>
      </font>
      <fill>
        <patternFill>
          <bgColor rgb="FFFFC9CA"/>
        </patternFill>
      </fill>
    </dxf>
    <dxf>
      <font>
        <color rgb="FF000000"/>
      </font>
      <fill>
        <patternFill>
          <bgColor rgb="FFD3F9DF"/>
        </patternFill>
      </fill>
    </dxf>
    <dxf>
      <font>
        <color rgb="FFFF0000"/>
      </font>
    </dxf>
    <dxf>
      <font>
        <color rgb="FF00B050"/>
      </font>
    </dxf>
    <dxf>
      <font>
        <color theme="0" tint="-0.24994659260841701"/>
      </font>
    </dxf>
    <dxf>
      <font>
        <color rgb="FF000000"/>
      </font>
      <fill>
        <patternFill>
          <bgColor rgb="FFCDF2FF"/>
        </patternFill>
      </fill>
    </dxf>
    <dxf>
      <font>
        <color rgb="FF000000"/>
      </font>
      <fill>
        <patternFill>
          <bgColor rgb="FFFFC9CA"/>
        </patternFill>
      </fill>
    </dxf>
    <dxf>
      <font>
        <color rgb="FF000000"/>
      </font>
      <fill>
        <patternFill>
          <bgColor rgb="FFD3F9DF"/>
        </patternFill>
      </fill>
    </dxf>
    <dxf>
      <font>
        <color rgb="FFFF0000"/>
      </font>
    </dxf>
    <dxf>
      <font>
        <color rgb="FF00B050"/>
      </font>
    </dxf>
    <dxf>
      <font>
        <color theme="0" tint="-0.24994659260841701"/>
      </font>
    </dxf>
    <dxf>
      <font>
        <color rgb="FFFF0000"/>
      </font>
    </dxf>
    <dxf>
      <font>
        <color rgb="FF00B050"/>
      </font>
    </dxf>
    <dxf>
      <font>
        <color theme="0" tint="-0.24994659260841701"/>
      </font>
    </dxf>
    <dxf>
      <font>
        <color rgb="FF000000"/>
      </font>
      <fill>
        <patternFill>
          <bgColor rgb="FFCDF2FF"/>
        </patternFill>
      </fill>
    </dxf>
    <dxf>
      <font>
        <color rgb="FF000000"/>
      </font>
      <fill>
        <patternFill>
          <bgColor rgb="FFFFC9CA"/>
        </patternFill>
      </fill>
    </dxf>
    <dxf>
      <font>
        <color rgb="FF000000"/>
      </font>
      <fill>
        <patternFill>
          <bgColor rgb="FFD3F9DF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rgb="FF00B05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rgb="FFFF505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TableStyleMedium2" defaultPivotStyle="PivotStyleLight16">
    <tableStyle name="Expenses Table Style" pivot="0" count="2" xr9:uid="{C3DCA536-4086-4C11-83CD-F33D43ED6373}">
      <tableStyleElement type="wholeTable" dxfId="80"/>
      <tableStyleElement type="headerRow" dxfId="79"/>
    </tableStyle>
    <tableStyle name="Income Table Style" pivot="0" count="2" xr9:uid="{39E52731-66AF-4038-9607-AB009D6C5F5C}">
      <tableStyleElement type="wholeTable" dxfId="78"/>
      <tableStyleElement type="headerRow" dxfId="77"/>
    </tableStyle>
    <tableStyle name="Savings Table Style" pivot="0" count="2" xr9:uid="{BE73F09A-1228-4068-904D-8E9BE6747EB0}">
      <tableStyleElement type="wholeTable" dxfId="76"/>
      <tableStyleElement type="headerRow" dxfId="75"/>
    </tableStyle>
    <tableStyle name="Tracking Table Style" pivot="0" count="3" xr9:uid="{4FD57598-6E00-4B15-A954-24F9BA7E04C6}">
      <tableStyleElement type="wholeTable" dxfId="74"/>
      <tableStyleElement type="headerRow" dxfId="73"/>
      <tableStyleElement type="firstRowStripe" dxfId="72"/>
    </tableStyle>
  </tableStyles>
  <colors>
    <mruColors>
      <color rgb="FF9BE5FF"/>
      <color rgb="FFFFC1C1"/>
      <color rgb="FFFF5050"/>
      <color rgb="FF00F66F"/>
      <color rgb="FF007635"/>
      <color rgb="FFB7FFD8"/>
      <color rgb="FFD3D3D3"/>
      <color rgb="FFE0E0E0"/>
      <color rgb="FFF3F3F3"/>
      <color rgb="FF5D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148962511761498E-2"/>
          <c:y val="7.3947700981821712E-2"/>
          <c:w val="0.86228482003129892"/>
          <c:h val="0.854263565891472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43-4DBF-95A9-F735298FBBF8}"/>
              </c:ext>
            </c:extLst>
          </c:dPt>
          <c:dPt>
            <c:idx val="1"/>
            <c:bubble3D val="0"/>
            <c:spPr>
              <a:solidFill>
                <a:srgbClr val="00EE6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43-4DBF-95A9-F735298FBBF8}"/>
              </c:ext>
            </c:extLst>
          </c:dPt>
          <c:dPt>
            <c:idx val="2"/>
            <c:bubble3D val="0"/>
            <c:spPr>
              <a:solidFill>
                <a:srgbClr val="4BFF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43-4DBF-95A9-F735298FBBF8}"/>
              </c:ext>
            </c:extLst>
          </c:dPt>
          <c:dPt>
            <c:idx val="3"/>
            <c:bubble3D val="0"/>
            <c:spPr>
              <a:solidFill>
                <a:srgbClr val="9FFFC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43-4DBF-95A9-F735298FBBF8}"/>
              </c:ext>
            </c:extLst>
          </c:dPt>
          <c:dPt>
            <c:idx val="4"/>
            <c:bubble3D val="0"/>
            <c:spPr>
              <a:solidFill>
                <a:srgbClr val="BDFFD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43-4DBF-95A9-F735298FBBF8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43-4DBF-95A9-F735298FBBF8}"/>
              </c:ext>
            </c:extLst>
          </c:dPt>
          <c:cat>
            <c:strRef>
              <c:f>Cálculos!$E$35:$E$40</c:f>
              <c:strCache>
                <c:ptCount val="3"/>
                <c:pt idx="0">
                  <c:v>Trabalho</c:v>
                </c:pt>
                <c:pt idx="1">
                  <c:v>Freelance</c:v>
                </c:pt>
                <c:pt idx="2">
                  <c:v>Dividendos</c:v>
                </c:pt>
              </c:strCache>
            </c:strRef>
          </c:cat>
          <c:val>
            <c:numRef>
              <c:f>Cálculos!$F$35:$F$40</c:f>
              <c:numCache>
                <c:formatCode>_-* #.##0_-;\-* #.##0_-;_-* "-"??_-;_-@_-</c:formatCode>
                <c:ptCount val="6"/>
                <c:pt idx="0">
                  <c:v>10500</c:v>
                </c:pt>
                <c:pt idx="1">
                  <c:v>2800</c:v>
                </c:pt>
                <c:pt idx="2">
                  <c:v>300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43-4DBF-95A9-F735298F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148962511761498E-2"/>
          <c:y val="7.3947700981821712E-2"/>
          <c:w val="0.86228482003129892"/>
          <c:h val="0.854263565891472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17-4454-A41B-6CABB0690E74}"/>
              </c:ext>
            </c:extLst>
          </c:dPt>
          <c:dPt>
            <c:idx val="1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17-4454-A41B-6CABB0690E74}"/>
              </c:ext>
            </c:extLst>
          </c:dPt>
          <c:dPt>
            <c:idx val="2"/>
            <c:bubble3D val="0"/>
            <c:spPr>
              <a:solidFill>
                <a:srgbClr val="FF8B8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17-4454-A41B-6CABB0690E74}"/>
              </c:ext>
            </c:extLst>
          </c:dPt>
          <c:dPt>
            <c:idx val="3"/>
            <c:bubble3D val="0"/>
            <c:spPr>
              <a:solidFill>
                <a:srgbClr val="FFABA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17-4454-A41B-6CABB0690E74}"/>
              </c:ext>
            </c:extLst>
          </c:dPt>
          <c:dPt>
            <c:idx val="4"/>
            <c:bubble3D val="0"/>
            <c:spPr>
              <a:solidFill>
                <a:srgbClr val="FFCDC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17-4454-A41B-6CABB0690E74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217-4454-A41B-6CABB0690E74}"/>
              </c:ext>
            </c:extLst>
          </c:dPt>
          <c:cat>
            <c:strRef>
              <c:f>Cálculos!$I$35:$I$40</c:f>
              <c:strCache>
                <c:ptCount val="6"/>
                <c:pt idx="0">
                  <c:v>Aluguel</c:v>
                </c:pt>
                <c:pt idx="1">
                  <c:v>Energia Elétrica</c:v>
                </c:pt>
                <c:pt idx="2">
                  <c:v>Diversão &amp; Férias</c:v>
                </c:pt>
                <c:pt idx="3">
                  <c:v>Transporte</c:v>
                </c:pt>
                <c:pt idx="4">
                  <c:v>Seguros</c:v>
                </c:pt>
                <c:pt idx="5">
                  <c:v>Outro</c:v>
                </c:pt>
              </c:strCache>
            </c:strRef>
          </c:cat>
          <c:val>
            <c:numRef>
              <c:f>Cálculos!$J$35:$J$40</c:f>
              <c:numCache>
                <c:formatCode>_-* #.##0_-;\-* #.##0_-;_-* "-"??_-;_-@_-</c:formatCode>
                <c:ptCount val="6"/>
                <c:pt idx="0">
                  <c:v>2400</c:v>
                </c:pt>
                <c:pt idx="1">
                  <c:v>1800</c:v>
                </c:pt>
                <c:pt idx="2">
                  <c:v>740</c:v>
                </c:pt>
                <c:pt idx="3">
                  <c:v>660</c:v>
                </c:pt>
                <c:pt idx="4">
                  <c:v>660</c:v>
                </c:pt>
                <c:pt idx="5">
                  <c:v>1630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17-4454-A41B-6CABB0690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148962511761498E-2"/>
          <c:y val="7.3947700981821712E-2"/>
          <c:w val="0.86228482003129892"/>
          <c:h val="0.854263565891472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93-4470-B9AE-1995DF945D5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93-4470-B9AE-1995DF945D5D}"/>
              </c:ext>
            </c:extLst>
          </c:dPt>
          <c:dPt>
            <c:idx val="2"/>
            <c:bubble3D val="0"/>
            <c:spPr>
              <a:solidFill>
                <a:srgbClr val="4BD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93-4470-B9AE-1995DF945D5D}"/>
              </c:ext>
            </c:extLst>
          </c:dPt>
          <c:dPt>
            <c:idx val="3"/>
            <c:bubble3D val="0"/>
            <c:spPr>
              <a:solidFill>
                <a:srgbClr val="75D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93-4470-B9AE-1995DF945D5D}"/>
              </c:ext>
            </c:extLst>
          </c:dPt>
          <c:dPt>
            <c:idx val="4"/>
            <c:bubble3D val="0"/>
            <c:spPr>
              <a:solidFill>
                <a:srgbClr val="B3E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93-4470-B9AE-1995DF945D5D}"/>
              </c:ext>
            </c:extLst>
          </c:dPt>
          <c:dPt>
            <c:idx val="5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93-4470-B9AE-1995DF945D5D}"/>
              </c:ext>
            </c:extLst>
          </c:dPt>
          <c:cat>
            <c:strRef>
              <c:f>Cálculos!$M$35:$M$40</c:f>
              <c:strCache>
                <c:ptCount val="5"/>
                <c:pt idx="0">
                  <c:v>Previdência Privada</c:v>
                </c:pt>
                <c:pt idx="1">
                  <c:v>Ações</c:v>
                </c:pt>
                <c:pt idx="2">
                  <c:v>Tesouro Direto</c:v>
                </c:pt>
                <c:pt idx="3">
                  <c:v>LCI</c:v>
                </c:pt>
                <c:pt idx="4">
                  <c:v>Reserva de Emergência</c:v>
                </c:pt>
              </c:strCache>
            </c:strRef>
          </c:cat>
          <c:val>
            <c:numRef>
              <c:f>Cálculos!$N$35:$N$40</c:f>
              <c:numCache>
                <c:formatCode>_-* #.##0_-;\-* #.##0_-;_-* "-"??_-;_-@_-</c:formatCode>
                <c:ptCount val="6"/>
                <c:pt idx="0">
                  <c:v>1250</c:v>
                </c:pt>
                <c:pt idx="1">
                  <c:v>900</c:v>
                </c:pt>
                <c:pt idx="2">
                  <c:v>400</c:v>
                </c:pt>
                <c:pt idx="3">
                  <c:v>400</c:v>
                </c:pt>
                <c:pt idx="4">
                  <c:v>140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93-4470-B9AE-1995DF945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F66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11-44B7-AC52-151A40D706B4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11-44B7-AC52-151A40D706B4}"/>
              </c:ext>
            </c:extLst>
          </c:dPt>
          <c:dPt>
            <c:idx val="5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11-44B7-AC52-151A40D706B4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11-44B7-AC52-151A40D706B4}"/>
              </c:ext>
            </c:extLst>
          </c:dPt>
          <c:dPt>
            <c:idx val="9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11-44B7-AC52-151A40D706B4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11-44B7-AC52-151A40D706B4}"/>
              </c:ext>
            </c:extLst>
          </c:dPt>
          <c:dPt>
            <c:idx val="13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11-44B7-AC52-151A40D706B4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11-44B7-AC52-151A40D706B4}"/>
              </c:ext>
            </c:extLst>
          </c:dPt>
          <c:dPt>
            <c:idx val="17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811-44B7-AC52-151A40D706B4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811-44B7-AC52-151A40D706B4}"/>
              </c:ext>
            </c:extLst>
          </c:dPt>
          <c:dPt>
            <c:idx val="2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811-44B7-AC52-151A40D706B4}"/>
              </c:ext>
            </c:extLst>
          </c:dPt>
          <c:dPt>
            <c:idx val="2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811-44B7-AC52-151A40D706B4}"/>
              </c:ext>
            </c:extLst>
          </c:dPt>
          <c:dPt>
            <c:idx val="25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811-44B7-AC52-151A40D706B4}"/>
              </c:ext>
            </c:extLst>
          </c:dPt>
          <c:dPt>
            <c:idx val="2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811-44B7-AC52-151A40D706B4}"/>
              </c:ext>
            </c:extLst>
          </c:dPt>
          <c:dPt>
            <c:idx val="29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811-44B7-AC52-151A40D706B4}"/>
              </c:ext>
            </c:extLst>
          </c:dPt>
          <c:dPt>
            <c:idx val="3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811-44B7-AC52-151A40D706B4}"/>
              </c:ext>
            </c:extLst>
          </c:dPt>
          <c:dPt>
            <c:idx val="33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811-44B7-AC52-151A40D706B4}"/>
              </c:ext>
            </c:extLst>
          </c:dPt>
          <c:dPt>
            <c:idx val="3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811-44B7-AC52-151A40D706B4}"/>
              </c:ext>
            </c:extLst>
          </c:dPt>
          <c:dPt>
            <c:idx val="37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2811-44B7-AC52-151A40D706B4}"/>
              </c:ext>
            </c:extLst>
          </c:dPt>
          <c:dPt>
            <c:idx val="3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2811-44B7-AC52-151A40D706B4}"/>
              </c:ext>
            </c:extLst>
          </c:dPt>
          <c:dPt>
            <c:idx val="4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2811-44B7-AC52-151A40D706B4}"/>
              </c:ext>
            </c:extLst>
          </c:dPt>
          <c:dPt>
            <c:idx val="4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2811-44B7-AC52-151A40D706B4}"/>
              </c:ext>
            </c:extLst>
          </c:dPt>
          <c:dPt>
            <c:idx val="45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2811-44B7-AC52-151A40D706B4}"/>
              </c:ext>
            </c:extLst>
          </c:dPt>
          <c:dPt>
            <c:idx val="4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2811-44B7-AC52-151A40D706B4}"/>
              </c:ext>
            </c:extLst>
          </c:dPt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Cálculos!$M$55:$M$102</c:f>
              <c:numCache>
                <c:formatCode>_-"$"\ * #.##0_-;\-"$"\ * #.##0_-;_-"$"\ * "-"??_-;_-@_-</c:formatCode>
                <c:ptCount val="48"/>
                <c:pt idx="0">
                  <c:v>4650</c:v>
                </c:pt>
                <c:pt idx="1">
                  <c:v>2800</c:v>
                </c:pt>
                <c:pt idx="2">
                  <c:v>1750</c:v>
                </c:pt>
                <c:pt idx="4">
                  <c:v>4050</c:v>
                </c:pt>
                <c:pt idx="5">
                  <c:v>2900</c:v>
                </c:pt>
                <c:pt idx="6">
                  <c:v>1040</c:v>
                </c:pt>
                <c:pt idx="8">
                  <c:v>4600</c:v>
                </c:pt>
                <c:pt idx="9">
                  <c:v>2080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811-44B7-AC52-151A40D706B4}"/>
            </c:ext>
          </c:extLst>
        </c:ser>
        <c:ser>
          <c:idx val="1"/>
          <c:order val="1"/>
          <c:spPr>
            <a:solidFill>
              <a:srgbClr val="B7FFD8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2811-44B7-AC52-151A40D706B4}"/>
              </c:ext>
            </c:extLst>
          </c:dPt>
          <c:dPt>
            <c:idx val="2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2811-44B7-AC52-151A40D706B4}"/>
              </c:ext>
            </c:extLst>
          </c:dPt>
          <c:dPt>
            <c:idx val="5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2811-44B7-AC52-151A40D706B4}"/>
              </c:ext>
            </c:extLst>
          </c:dPt>
          <c:dPt>
            <c:idx val="6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2811-44B7-AC52-151A40D706B4}"/>
              </c:ext>
            </c:extLst>
          </c:dPt>
          <c:dPt>
            <c:idx val="9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2811-44B7-AC52-151A40D706B4}"/>
              </c:ext>
            </c:extLst>
          </c:dPt>
          <c:dPt>
            <c:idx val="10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2811-44B7-AC52-151A40D706B4}"/>
              </c:ext>
            </c:extLst>
          </c:dPt>
          <c:dPt>
            <c:idx val="13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2811-44B7-AC52-151A40D706B4}"/>
              </c:ext>
            </c:extLst>
          </c:dPt>
          <c:dPt>
            <c:idx val="14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2811-44B7-AC52-151A40D706B4}"/>
              </c:ext>
            </c:extLst>
          </c:dPt>
          <c:dPt>
            <c:idx val="17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2811-44B7-AC52-151A40D706B4}"/>
              </c:ext>
            </c:extLst>
          </c:dPt>
          <c:dPt>
            <c:idx val="18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2811-44B7-AC52-151A40D706B4}"/>
              </c:ext>
            </c:extLst>
          </c:dPt>
          <c:dPt>
            <c:idx val="21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2811-44B7-AC52-151A40D706B4}"/>
              </c:ext>
            </c:extLst>
          </c:dPt>
          <c:dPt>
            <c:idx val="22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2811-44B7-AC52-151A40D706B4}"/>
              </c:ext>
            </c:extLst>
          </c:dPt>
          <c:dPt>
            <c:idx val="25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2811-44B7-AC52-151A40D706B4}"/>
              </c:ext>
            </c:extLst>
          </c:dPt>
          <c:dPt>
            <c:idx val="26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2811-44B7-AC52-151A40D706B4}"/>
              </c:ext>
            </c:extLst>
          </c:dPt>
          <c:dPt>
            <c:idx val="29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2811-44B7-AC52-151A40D706B4}"/>
              </c:ext>
            </c:extLst>
          </c:dPt>
          <c:dPt>
            <c:idx val="30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2811-44B7-AC52-151A40D706B4}"/>
              </c:ext>
            </c:extLst>
          </c:dPt>
          <c:dPt>
            <c:idx val="33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2811-44B7-AC52-151A40D706B4}"/>
              </c:ext>
            </c:extLst>
          </c:dPt>
          <c:dPt>
            <c:idx val="34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2811-44B7-AC52-151A40D706B4}"/>
              </c:ext>
            </c:extLst>
          </c:dPt>
          <c:dPt>
            <c:idx val="37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2811-44B7-AC52-151A40D706B4}"/>
              </c:ext>
            </c:extLst>
          </c:dPt>
          <c:dPt>
            <c:idx val="38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2811-44B7-AC52-151A40D706B4}"/>
              </c:ext>
            </c:extLst>
          </c:dPt>
          <c:dPt>
            <c:idx val="41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2811-44B7-AC52-151A40D706B4}"/>
              </c:ext>
            </c:extLst>
          </c:dPt>
          <c:dPt>
            <c:idx val="42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2811-44B7-AC52-151A40D706B4}"/>
              </c:ext>
            </c:extLst>
          </c:dPt>
          <c:dPt>
            <c:idx val="45"/>
            <c:invertIfNegative val="0"/>
            <c:bubble3D val="0"/>
            <c:spPr>
              <a:solidFill>
                <a:srgbClr val="FFC1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2811-44B7-AC52-151A40D706B4}"/>
              </c:ext>
            </c:extLst>
          </c:dPt>
          <c:dPt>
            <c:idx val="46"/>
            <c:invertIfNegative val="0"/>
            <c:bubble3D val="0"/>
            <c:spPr>
              <a:solidFill>
                <a:srgbClr val="9B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2811-44B7-AC52-151A40D706B4}"/>
              </c:ext>
            </c:extLst>
          </c:dPt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Cálculos!$N$55:$N$102</c:f>
              <c:numCache>
                <c:formatCode>_-"$"\ * #.##0_-;\-"$"\ * #.##0_-;_-"$"\ * "-"??_-;_-@_-</c:formatCode>
                <c:ptCount val="48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4">
                  <c:v>500</c:v>
                </c:pt>
                <c:pt idx="5">
                  <c:v>0</c:v>
                </c:pt>
                <c:pt idx="6">
                  <c:v>610</c:v>
                </c:pt>
                <c:pt idx="8">
                  <c:v>0</c:v>
                </c:pt>
                <c:pt idx="9">
                  <c:v>970</c:v>
                </c:pt>
                <c:pt idx="10">
                  <c:v>1550</c:v>
                </c:pt>
                <c:pt idx="12">
                  <c:v>5650</c:v>
                </c:pt>
                <c:pt idx="13">
                  <c:v>3800</c:v>
                </c:pt>
                <c:pt idx="14">
                  <c:v>1850</c:v>
                </c:pt>
                <c:pt idx="16">
                  <c:v>5550</c:v>
                </c:pt>
                <c:pt idx="17">
                  <c:v>2900</c:v>
                </c:pt>
                <c:pt idx="18">
                  <c:v>2650</c:v>
                </c:pt>
                <c:pt idx="20">
                  <c:v>5600</c:v>
                </c:pt>
                <c:pt idx="21">
                  <c:v>3050</c:v>
                </c:pt>
                <c:pt idx="22">
                  <c:v>2550</c:v>
                </c:pt>
                <c:pt idx="24">
                  <c:v>5650</c:v>
                </c:pt>
                <c:pt idx="25">
                  <c:v>2900</c:v>
                </c:pt>
                <c:pt idx="26">
                  <c:v>2750</c:v>
                </c:pt>
                <c:pt idx="28">
                  <c:v>5550</c:v>
                </c:pt>
                <c:pt idx="29">
                  <c:v>4100</c:v>
                </c:pt>
                <c:pt idx="30">
                  <c:v>1450</c:v>
                </c:pt>
                <c:pt idx="32">
                  <c:v>5600</c:v>
                </c:pt>
                <c:pt idx="33">
                  <c:v>3050</c:v>
                </c:pt>
                <c:pt idx="34">
                  <c:v>2550</c:v>
                </c:pt>
                <c:pt idx="36">
                  <c:v>5650</c:v>
                </c:pt>
                <c:pt idx="37">
                  <c:v>2900</c:v>
                </c:pt>
                <c:pt idx="38">
                  <c:v>2750</c:v>
                </c:pt>
                <c:pt idx="40">
                  <c:v>5550</c:v>
                </c:pt>
                <c:pt idx="41">
                  <c:v>2900</c:v>
                </c:pt>
                <c:pt idx="42">
                  <c:v>2650</c:v>
                </c:pt>
                <c:pt idx="44">
                  <c:v>5600</c:v>
                </c:pt>
                <c:pt idx="45">
                  <c:v>3350</c:v>
                </c:pt>
                <c:pt idx="46">
                  <c:v>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2811-44B7-AC52-151A40D706B4}"/>
            </c:ext>
          </c:extLst>
        </c:ser>
        <c:ser>
          <c:idx val="2"/>
          <c:order val="2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2811-44B7-AC52-151A40D706B4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2811-44B7-AC52-151A40D706B4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2811-44B7-AC52-151A40D706B4}"/>
              </c:ext>
            </c:extLst>
          </c:dPt>
          <c:dPt>
            <c:idx val="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2811-44B7-AC52-151A40D706B4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2811-44B7-AC52-151A40D706B4}"/>
              </c:ext>
            </c:extLst>
          </c:dPt>
          <c:dPt>
            <c:idx val="1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2811-44B7-AC52-151A40D706B4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2811-44B7-AC52-151A40D706B4}"/>
              </c:ext>
            </c:extLst>
          </c:dPt>
          <c:dPt>
            <c:idx val="14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2811-44B7-AC52-151A40D706B4}"/>
              </c:ext>
            </c:extLst>
          </c:dPt>
          <c:dPt>
            <c:idx val="1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2811-44B7-AC52-151A40D706B4}"/>
              </c:ext>
            </c:extLst>
          </c:dPt>
          <c:dPt>
            <c:idx val="18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2811-44B7-AC52-151A40D706B4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2811-44B7-AC52-151A40D706B4}"/>
              </c:ext>
            </c:extLst>
          </c:dPt>
          <c:dPt>
            <c:idx val="2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2811-44B7-AC52-151A40D706B4}"/>
              </c:ext>
            </c:extLst>
          </c:dPt>
          <c:dPt>
            <c:idx val="2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2811-44B7-AC52-151A40D706B4}"/>
              </c:ext>
            </c:extLst>
          </c:dPt>
          <c:dPt>
            <c:idx val="2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2811-44B7-AC52-151A40D706B4}"/>
              </c:ext>
            </c:extLst>
          </c:dPt>
          <c:dPt>
            <c:idx val="2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2811-44B7-AC52-151A40D706B4}"/>
              </c:ext>
            </c:extLst>
          </c:dPt>
          <c:dPt>
            <c:idx val="3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2811-44B7-AC52-151A40D706B4}"/>
              </c:ext>
            </c:extLst>
          </c:dPt>
          <c:dPt>
            <c:idx val="3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2811-44B7-AC52-151A40D706B4}"/>
              </c:ext>
            </c:extLst>
          </c:dPt>
          <c:dPt>
            <c:idx val="34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2811-44B7-AC52-151A40D706B4}"/>
              </c:ext>
            </c:extLst>
          </c:dPt>
          <c:dPt>
            <c:idx val="3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2811-44B7-AC52-151A40D706B4}"/>
              </c:ext>
            </c:extLst>
          </c:dPt>
          <c:dPt>
            <c:idx val="38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2811-44B7-AC52-151A40D706B4}"/>
              </c:ext>
            </c:extLst>
          </c:dPt>
          <c:dPt>
            <c:idx val="4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2811-44B7-AC52-151A40D706B4}"/>
              </c:ext>
            </c:extLst>
          </c:dPt>
          <c:dPt>
            <c:idx val="4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2811-44B7-AC52-151A40D706B4}"/>
              </c:ext>
            </c:extLst>
          </c:dPt>
          <c:dPt>
            <c:idx val="4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2811-44B7-AC52-151A40D706B4}"/>
              </c:ext>
            </c:extLst>
          </c:dPt>
          <c:dPt>
            <c:idx val="4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2811-44B7-AC52-151A40D706B4}"/>
              </c:ext>
            </c:extLst>
          </c:dPt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Cálculos!$O$55:$O$102</c:f>
              <c:numCache>
                <c:formatCode>_-"$"\ * #.##0_-;\-"$"\ * #.##0_-;_-"$"\ * "-"??_-;_-@_-</c:formatCode>
                <c:ptCount val="48"/>
                <c:pt idx="0">
                  <c:v>200</c:v>
                </c:pt>
                <c:pt idx="1">
                  <c:v>0</c:v>
                </c:pt>
                <c:pt idx="2">
                  <c:v>300</c:v>
                </c:pt>
                <c:pt idx="4">
                  <c:v>0</c:v>
                </c:pt>
                <c:pt idx="5">
                  <c:v>110</c:v>
                </c:pt>
                <c:pt idx="6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2811-44B7-AC52-151A40D706B4}"/>
            </c:ext>
          </c:extLst>
        </c:ser>
        <c:ser>
          <c:idx val="3"/>
          <c:order val="3"/>
          <c:spPr>
            <a:solidFill>
              <a:srgbClr val="E0E0E0"/>
            </a:solidFill>
            <a:ln>
              <a:noFill/>
            </a:ln>
            <a:effectLst/>
          </c:spPr>
          <c:invertIfNegative val="0"/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Cálculos!$P$55:$P$102</c:f>
              <c:numCache>
                <c:formatCode>_-"$"\ * #.##0_-;\-"$"\ * #.##0_-;_-"$"\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2811-44B7-AC52-151A40D706B4}"/>
            </c:ext>
          </c:extLst>
        </c:ser>
        <c:ser>
          <c:idx val="4"/>
          <c:order val="4"/>
          <c:spPr>
            <a:solidFill>
              <a:srgbClr val="F3F3F3"/>
            </a:solidFill>
            <a:ln>
              <a:noFill/>
            </a:ln>
            <a:effectLst/>
          </c:spPr>
          <c:invertIfNegative val="0"/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Cálculos!$Q$55:$Q$102</c:f>
              <c:numCache>
                <c:formatCode>_-"$"\ * #.##0_-;\-"$"\ * #.##0_-;_-"$"\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2811-44B7-AC52-151A40D706B4}"/>
            </c:ext>
          </c:extLst>
        </c:ser>
        <c:ser>
          <c:idx val="5"/>
          <c:order val="5"/>
          <c:spPr>
            <a:solidFill>
              <a:srgbClr val="D3D3D3"/>
            </a:solidFill>
            <a:ln>
              <a:noFill/>
            </a:ln>
            <a:effectLst/>
          </c:spPr>
          <c:invertIfNegative val="0"/>
          <c:cat>
            <c:numRef>
              <c:f>Cálculos!$D$55:$D$102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Cálculos!$R$55:$R$102</c:f>
              <c:numCache>
                <c:formatCode>_-"$"\ * #.##0_-;\-"$"\ * #.##0_-;_-"$"\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2811-44B7-AC52-151A40D70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1307880480"/>
        <c:axId val="1107687536"/>
      </c:barChart>
      <c:catAx>
        <c:axId val="1307880480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bg1">
                    <a:lumMod val="65000"/>
                  </a:schemeClr>
                </a:solidFill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defRPr>
            </a:pPr>
            <a:endParaRPr lang="pt-BR"/>
          </a:p>
        </c:txPr>
        <c:crossAx val="1107687536"/>
        <c:crosses val="autoZero"/>
        <c:auto val="0"/>
        <c:lblAlgn val="ctr"/>
        <c:lblOffset val="100"/>
        <c:noMultiLvlLbl val="0"/>
      </c:catAx>
      <c:valAx>
        <c:axId val="11076875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&quot;$&quot;\ * #.##0_-;\-&quot;$&quot;\ * #.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788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33333333333333331"/>
          <c:w val="0.81666666666666665"/>
          <c:h val="0.4047619047619047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Cálculos!$E$24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96-460D-9367-BD547FCD7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09539264"/>
        <c:axId val="1405643488"/>
      </c:barChart>
      <c:catAx>
        <c:axId val="1609539264"/>
        <c:scaling>
          <c:orientation val="minMax"/>
        </c:scaling>
        <c:delete val="1"/>
        <c:axPos val="l"/>
        <c:majorTickMark val="none"/>
        <c:minorTickMark val="none"/>
        <c:tickLblPos val="nextTo"/>
        <c:crossAx val="1405643488"/>
        <c:crosses val="autoZero"/>
        <c:auto val="1"/>
        <c:lblAlgn val="ctr"/>
        <c:lblOffset val="100"/>
        <c:noMultiLvlLbl val="0"/>
      </c:catAx>
      <c:valAx>
        <c:axId val="1405643488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160953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álculos!$E$49" lockText="1" noThreeD="1"/>
</file>

<file path=xl/ctrlProps/ctrlProp2.xml><?xml version="1.0" encoding="utf-8"?>
<formControlPr xmlns="http://schemas.microsoft.com/office/spreadsheetml/2009/9/main" objectType="CheckBox" checked="Checked" fmlaLink="Cálculos!$E$50" lockText="1" noThreeD="1"/>
</file>

<file path=xl/ctrlProps/ctrlProp3.xml><?xml version="1.0" encoding="utf-8"?>
<formControlPr xmlns="http://schemas.microsoft.com/office/spreadsheetml/2009/9/main" objectType="CheckBox" checked="Checked" fmlaLink="Cálculos!$E$51" lockText="1" noThreeD="1"/>
</file>

<file path=xl/ctrlProps/ctrlProp4.xml><?xml version="1.0" encoding="utf-8"?>
<formControlPr xmlns="http://schemas.microsoft.com/office/spreadsheetml/2009/9/main" objectType="CheckBox" checked="Checked" fmlaLink="Cálculos!$E$52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jpe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3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20.svg"/><Relationship Id="rId2" Type="http://schemas.openxmlformats.org/officeDocument/2006/relationships/image" Target="../media/image6.svg"/><Relationship Id="rId16" Type="http://schemas.openxmlformats.org/officeDocument/2006/relationships/image" Target="../media/image14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9.png"/><Relationship Id="rId5" Type="http://schemas.openxmlformats.org/officeDocument/2006/relationships/image" Target="../media/image9.png"/><Relationship Id="rId15" Type="http://schemas.openxmlformats.org/officeDocument/2006/relationships/image" Target="../media/image13.png"/><Relationship Id="rId10" Type="http://schemas.openxmlformats.org/officeDocument/2006/relationships/image" Target="../media/image18.svg"/><Relationship Id="rId4" Type="http://schemas.openxmlformats.org/officeDocument/2006/relationships/image" Target="../media/image8.svg"/><Relationship Id="rId9" Type="http://schemas.openxmlformats.org/officeDocument/2006/relationships/image" Target="../media/image1.png"/><Relationship Id="rId1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8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9.png"/><Relationship Id="rId18" Type="http://schemas.openxmlformats.org/officeDocument/2006/relationships/image" Target="../media/image18.sv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17" Type="http://schemas.openxmlformats.org/officeDocument/2006/relationships/image" Target="../media/image1.png"/><Relationship Id="rId2" Type="http://schemas.openxmlformats.org/officeDocument/2006/relationships/chart" Target="../charts/chart2.xml"/><Relationship Id="rId16" Type="http://schemas.openxmlformats.org/officeDocument/2006/relationships/image" Target="../media/image12.svg"/><Relationship Id="rId20" Type="http://schemas.openxmlformats.org/officeDocument/2006/relationships/image" Target="../media/image14.sv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image" Target="../media/image7.png"/><Relationship Id="rId5" Type="http://schemas.openxmlformats.org/officeDocument/2006/relationships/image" Target="../media/image21.png"/><Relationship Id="rId15" Type="http://schemas.openxmlformats.org/officeDocument/2006/relationships/image" Target="../media/image11.png"/><Relationship Id="rId10" Type="http://schemas.openxmlformats.org/officeDocument/2006/relationships/image" Target="../media/image6.svg"/><Relationship Id="rId19" Type="http://schemas.openxmlformats.org/officeDocument/2006/relationships/image" Target="../media/image13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8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8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4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8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28575</xdr:colOff>
      <xdr:row>0</xdr:row>
      <xdr:rowOff>0</xdr:rowOff>
    </xdr:from>
    <xdr:to>
      <xdr:col>4</xdr:col>
      <xdr:colOff>1828800</xdr:colOff>
      <xdr:row>1</xdr:row>
      <xdr:rowOff>352425</xdr:rowOff>
    </xdr:to>
    <xdr:sp macro="[0]!AbrirConfiguraçõ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52900" y="0"/>
          <a:ext cx="1800225" cy="542925"/>
        </a:xfrm>
        <a:prstGeom prst="round2SameRect">
          <a:avLst>
            <a:gd name="adj1" fmla="val 0"/>
            <a:gd name="adj2" fmla="val 28302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CONFIGURAÇÕES</a:t>
          </a:r>
        </a:p>
      </xdr:txBody>
    </xdr:sp>
    <xdr:clientData/>
  </xdr:twoCellAnchor>
  <xdr:twoCellAnchor>
    <xdr:from>
      <xdr:col>4</xdr:col>
      <xdr:colOff>28575</xdr:colOff>
      <xdr:row>0</xdr:row>
      <xdr:rowOff>104775</xdr:rowOff>
    </xdr:from>
    <xdr:to>
      <xdr:col>4</xdr:col>
      <xdr:colOff>316575</xdr:colOff>
      <xdr:row>1</xdr:row>
      <xdr:rowOff>202275</xdr:rowOff>
    </xdr:to>
    <xdr:pic>
      <xdr:nvPicPr>
        <xdr:cNvPr id="4" name="Gráfico 3" descr="Engrenagem únic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52900" y="104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5</xdr:col>
      <xdr:colOff>0</xdr:colOff>
      <xdr:row>0</xdr:row>
      <xdr:rowOff>0</xdr:rowOff>
    </xdr:from>
    <xdr:to>
      <xdr:col>6</xdr:col>
      <xdr:colOff>1638300</xdr:colOff>
      <xdr:row>1</xdr:row>
      <xdr:rowOff>352425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6229350" y="0"/>
          <a:ext cx="1800225" cy="542925"/>
          <a:chOff x="6200775" y="0"/>
          <a:chExt cx="1800225" cy="542925"/>
        </a:xfrm>
      </xdr:grpSpPr>
      <xdr:sp macro="" textlink="">
        <xdr:nvSpPr>
          <xdr:cNvPr id="7" name="Retângulo: Cantos Superiores Arredondado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40" name="Gráfico 39" descr="Lista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1914525</xdr:colOff>
      <xdr:row>0</xdr:row>
      <xdr:rowOff>0</xdr:rowOff>
    </xdr:from>
    <xdr:to>
      <xdr:col>6</xdr:col>
      <xdr:colOff>3714750</xdr:colOff>
      <xdr:row>1</xdr:row>
      <xdr:rowOff>352425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8305800" y="0"/>
          <a:ext cx="1800225" cy="542925"/>
          <a:chOff x="8277225" y="0"/>
          <a:chExt cx="1800225" cy="542925"/>
        </a:xfrm>
      </xdr:grpSpPr>
      <xdr:sp macro="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82772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42" name="Gráfico 41" descr="Lápis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8354797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3990975</xdr:colOff>
      <xdr:row>0</xdr:row>
      <xdr:rowOff>0</xdr:rowOff>
    </xdr:from>
    <xdr:to>
      <xdr:col>8</xdr:col>
      <xdr:colOff>371475</xdr:colOff>
      <xdr:row>1</xdr:row>
      <xdr:rowOff>352425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0382250" y="0"/>
          <a:ext cx="1800225" cy="542925"/>
          <a:chOff x="10353675" y="0"/>
          <a:chExt cx="1800225" cy="542925"/>
        </a:xfrm>
      </xdr:grpSpPr>
      <xdr:sp macro="[0]!AbrirDashboard" textlink="">
        <xdr:nvSpPr>
          <xdr:cNvPr id="28" name="Retângulo: Cantos Superiores Arredondados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03536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 macro="[0]!AbrirDashboard">
        <xdr:nvPicPr>
          <xdr:cNvPr id="44" name="Gráfico 43" descr="Gráfico de pizza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0438009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38100</xdr:colOff>
      <xdr:row>0</xdr:row>
      <xdr:rowOff>0</xdr:rowOff>
    </xdr:from>
    <xdr:to>
      <xdr:col>12</xdr:col>
      <xdr:colOff>9525</xdr:colOff>
      <xdr:row>1</xdr:row>
      <xdr:rowOff>352425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2458700" y="0"/>
          <a:ext cx="1800225" cy="542925"/>
          <a:chOff x="12430125" y="0"/>
          <a:chExt cx="1800225" cy="542925"/>
        </a:xfrm>
      </xdr:grpSpPr>
      <xdr:sp macro="" textlink="">
        <xdr:nvSpPr>
          <xdr:cNvPr id="31" name="Retângulo: Cantos Superiores Arredondados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124301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46" name="Gráfico 45" descr="Calculadora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1252122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285750</xdr:colOff>
      <xdr:row>0</xdr:row>
      <xdr:rowOff>0</xdr:rowOff>
    </xdr:from>
    <xdr:to>
      <xdr:col>15</xdr:col>
      <xdr:colOff>257175</xdr:colOff>
      <xdr:row>1</xdr:row>
      <xdr:rowOff>352425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14535150" y="0"/>
          <a:ext cx="1800225" cy="542925"/>
          <a:chOff x="14506575" y="0"/>
          <a:chExt cx="1800225" cy="542925"/>
        </a:xfrm>
      </xdr:grpSpPr>
      <xdr:sp macro="" textlink="">
        <xdr:nvSpPr>
          <xdr:cNvPr id="34" name="Retângulo: Cantos Superiore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45065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48" name="Gráfico 47" descr="Banco de dados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 flipH="1">
            <a:off x="1460443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9525</xdr:colOff>
      <xdr:row>0</xdr:row>
      <xdr:rowOff>0</xdr:rowOff>
    </xdr:from>
    <xdr:to>
      <xdr:col>27</xdr:col>
      <xdr:colOff>57150</xdr:colOff>
      <xdr:row>1</xdr:row>
      <xdr:rowOff>352425</xdr:rowOff>
    </xdr:to>
    <xdr:sp macro="[0]!TrocarUsuario" textlink="">
      <xdr:nvSpPr>
        <xdr:cNvPr id="59" name="Retângulo: Cantos Superiores Arredondados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2183725" y="0"/>
          <a:ext cx="1800225" cy="542925"/>
        </a:xfrm>
        <a:prstGeom prst="round2SameRect">
          <a:avLst>
            <a:gd name="adj1" fmla="val 0"/>
            <a:gd name="adj2" fmla="val 28302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TROCAR USUÁRIO</a:t>
          </a:r>
          <a:endParaRPr lang="pt-BR" sz="1100" b="1">
            <a:latin typeface="Urbanist" panose="020B0A04040200000203" pitchFamily="34" charset="0"/>
            <a:ea typeface="Urbanist" panose="020B0A04040200000203" pitchFamily="34" charset="0"/>
            <a:cs typeface="Urbanist" panose="020B0A04040200000203" pitchFamily="34" charset="0"/>
          </a:endParaRPr>
        </a:p>
      </xdr:txBody>
    </xdr:sp>
    <xdr:clientData/>
  </xdr:twoCellAnchor>
  <xdr:twoCellAnchor editAs="absolute">
    <xdr:from>
      <xdr:col>15</xdr:col>
      <xdr:colOff>533400</xdr:colOff>
      <xdr:row>0</xdr:row>
      <xdr:rowOff>0</xdr:rowOff>
    </xdr:from>
    <xdr:to>
      <xdr:col>18</xdr:col>
      <xdr:colOff>504825</xdr:colOff>
      <xdr:row>1</xdr:row>
      <xdr:rowOff>352425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16611600" y="0"/>
          <a:ext cx="1800225" cy="542925"/>
          <a:chOff x="16611600" y="0"/>
          <a:chExt cx="1800225" cy="542925"/>
        </a:xfrm>
      </xdr:grpSpPr>
      <xdr:sp macro="[0]!AbrirUsuario" textlink="">
        <xdr:nvSpPr>
          <xdr:cNvPr id="37" name="Retângulo: Cantos Superiores Arredondados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66116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 macro="[0]!AbrirUsuario">
        <xdr:nvPicPr>
          <xdr:cNvPr id="63" name="Gráfico 62" descr="Tranc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6697326" y="114300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27</xdr:col>
      <xdr:colOff>180976</xdr:colOff>
      <xdr:row>1</xdr:row>
      <xdr:rowOff>57150</xdr:rowOff>
    </xdr:from>
    <xdr:to>
      <xdr:col>27</xdr:col>
      <xdr:colOff>552450</xdr:colOff>
      <xdr:row>2</xdr:row>
      <xdr:rowOff>57149</xdr:rowOff>
    </xdr:to>
    <xdr:pic>
      <xdr:nvPicPr>
        <xdr:cNvPr id="67" name="Gráfico 66" descr="Usuários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574376" y="247650"/>
          <a:ext cx="371474" cy="371474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9</xdr:row>
      <xdr:rowOff>47625</xdr:rowOff>
    </xdr:from>
    <xdr:to>
      <xdr:col>27</xdr:col>
      <xdr:colOff>57150</xdr:colOff>
      <xdr:row>49</xdr:row>
      <xdr:rowOff>85725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11550" y="2019300"/>
          <a:ext cx="77724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276225</xdr:colOff>
      <xdr:row>0</xdr:row>
      <xdr:rowOff>0</xdr:rowOff>
    </xdr:from>
    <xdr:to>
      <xdr:col>11</xdr:col>
      <xdr:colOff>133350</xdr:colOff>
      <xdr:row>1</xdr:row>
      <xdr:rowOff>352425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8467725" y="0"/>
          <a:ext cx="1800225" cy="542925"/>
          <a:chOff x="8467725" y="0"/>
          <a:chExt cx="1800225" cy="542925"/>
        </a:xfrm>
      </xdr:grpSpPr>
      <xdr:sp macro="" textlink="">
        <xdr:nvSpPr>
          <xdr:cNvPr id="7" name="Retângulo: Cantos Superiores Arredondado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4677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8" name="Gráfico 7" descr="Lápis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8526248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409575</xdr:colOff>
      <xdr:row>0</xdr:row>
      <xdr:rowOff>0</xdr:rowOff>
    </xdr:from>
    <xdr:to>
      <xdr:col>13</xdr:col>
      <xdr:colOff>266700</xdr:colOff>
      <xdr:row>1</xdr:row>
      <xdr:rowOff>352425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10544175" y="0"/>
          <a:ext cx="1800225" cy="542925"/>
          <a:chOff x="10544175" y="0"/>
          <a:chExt cx="1800225" cy="542925"/>
        </a:xfrm>
      </xdr:grpSpPr>
      <xdr:sp macro="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05441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>
        <xdr:nvPicPr>
          <xdr:cNvPr id="11" name="Gráfico 10" descr="Gráfico de pizza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10614223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542925</xdr:colOff>
      <xdr:row>0</xdr:row>
      <xdr:rowOff>0</xdr:rowOff>
    </xdr:from>
    <xdr:to>
      <xdr:col>15</xdr:col>
      <xdr:colOff>400050</xdr:colOff>
      <xdr:row>1</xdr:row>
      <xdr:rowOff>352425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12620625" y="0"/>
          <a:ext cx="1800225" cy="542925"/>
          <a:chOff x="12620625" y="0"/>
          <a:chExt cx="1800225" cy="542925"/>
        </a:xfrm>
      </xdr:grpSpPr>
      <xdr:sp macro="" textlink="">
        <xdr:nvSpPr>
          <xdr:cNvPr id="13" name="Retângulo: Cantos Superiores Arredondados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26206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14" name="Gráfico 13" descr="Calculadora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12702198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676275</xdr:colOff>
      <xdr:row>0</xdr:row>
      <xdr:rowOff>0</xdr:rowOff>
    </xdr:from>
    <xdr:to>
      <xdr:col>30</xdr:col>
      <xdr:colOff>323850</xdr:colOff>
      <xdr:row>1</xdr:row>
      <xdr:rowOff>352425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14697075" y="0"/>
          <a:ext cx="1800225" cy="542925"/>
          <a:chOff x="14697075" y="0"/>
          <a:chExt cx="1800225" cy="542925"/>
        </a:xfrm>
      </xdr:grpSpPr>
      <xdr:sp macro="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46970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17" name="Gráfico 16" descr="Banco de dados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479017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9525</xdr:colOff>
      <xdr:row>0</xdr:row>
      <xdr:rowOff>0</xdr:rowOff>
    </xdr:from>
    <xdr:to>
      <xdr:col>6</xdr:col>
      <xdr:colOff>838200</xdr:colOff>
      <xdr:row>1</xdr:row>
      <xdr:rowOff>352425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4314825" y="0"/>
          <a:ext cx="1800225" cy="542925"/>
          <a:chOff x="4314825" y="0"/>
          <a:chExt cx="1800225" cy="542925"/>
        </a:xfrm>
      </xdr:grpSpPr>
      <xdr:sp macro="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3148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>
        <xdr:nvPicPr>
          <xdr:cNvPr id="23" name="Gráfico 22" descr="Engrenagem única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314825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142875</xdr:colOff>
      <xdr:row>0</xdr:row>
      <xdr:rowOff>0</xdr:rowOff>
    </xdr:from>
    <xdr:to>
      <xdr:col>9</xdr:col>
      <xdr:colOff>0</xdr:colOff>
      <xdr:row>1</xdr:row>
      <xdr:rowOff>352425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6391275" y="0"/>
          <a:ext cx="1800225" cy="542925"/>
          <a:chOff x="6391275" y="0"/>
          <a:chExt cx="1800225" cy="5429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6391275" y="0"/>
            <a:ext cx="1800225" cy="542925"/>
            <a:chOff x="6200775" y="0"/>
            <a:chExt cx="1800225" cy="542925"/>
          </a:xfrm>
          <a:solidFill>
            <a:srgbClr val="002060"/>
          </a:solidFill>
        </xdr:grpSpPr>
        <xdr:sp macro="" textlink="">
          <xdr:nvSpPr>
            <xdr:cNvPr id="4" name="Retângulo: Cantos Superiores Arredondados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6200775" y="0"/>
              <a:ext cx="1800225" cy="542925"/>
            </a:xfrm>
            <a:prstGeom prst="round2SameRect">
              <a:avLst>
                <a:gd name="adj1" fmla="val 0"/>
                <a:gd name="adj2" fmla="val 28302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latin typeface="Urbanist" panose="020B0A04040200000203" pitchFamily="34" charset="0"/>
                  <a:ea typeface="Urbanist" panose="020B0A04040200000203" pitchFamily="34" charset="0"/>
                  <a:cs typeface="Urbanist" panose="020B0A04040200000203" pitchFamily="34" charset="0"/>
                </a:rPr>
                <a:t>PLANEJAMENTO</a:t>
              </a:r>
            </a:p>
          </xdr:txBody>
        </xdr:sp>
        <xdr:pic>
          <xdr:nvPicPr>
            <xdr:cNvPr id="5" name="Gráfico 4" descr="Lista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 flipH="1">
              <a:off x="6271585" y="95250"/>
              <a:ext cx="252527" cy="252527"/>
            </a:xfrm>
            <a:prstGeom prst="rect">
              <a:avLst/>
            </a:prstGeom>
          </xdr:spPr>
        </xdr:pic>
      </xdr:grpSp>
      <xdr:pic>
        <xdr:nvPicPr>
          <xdr:cNvPr id="24" name="Gráfico 23" descr="Lista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flipH="1">
            <a:off x="6438273" y="1143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600075</xdr:colOff>
      <xdr:row>0</xdr:row>
      <xdr:rowOff>0</xdr:rowOff>
    </xdr:from>
    <xdr:to>
      <xdr:col>58</xdr:col>
      <xdr:colOff>38100</xdr:colOff>
      <xdr:row>1</xdr:row>
      <xdr:rowOff>352425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16773525" y="0"/>
          <a:ext cx="1800225" cy="542925"/>
          <a:chOff x="16773525" y="0"/>
          <a:chExt cx="1800225" cy="542925"/>
        </a:xfrm>
      </xdr:grpSpPr>
      <xdr:sp macro="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67735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>
        <xdr:nvPicPr>
          <xdr:cNvPr id="34" name="Gráfico 33" descr="Trancar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868775" y="95250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4</xdr:row>
      <xdr:rowOff>85725</xdr:rowOff>
    </xdr:from>
    <xdr:to>
      <xdr:col>3</xdr:col>
      <xdr:colOff>232875</xdr:colOff>
      <xdr:row>8</xdr:row>
      <xdr:rowOff>144525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1228725" y="1028700"/>
          <a:ext cx="1461600" cy="820800"/>
          <a:chOff x="1228725" y="1028700"/>
          <a:chExt cx="1461600" cy="820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1228725" y="1028700"/>
            <a:ext cx="1461600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1295400" y="1162050"/>
            <a:ext cx="116204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Data de Hoje:</a:t>
            </a:r>
          </a:p>
        </xdr:txBody>
      </xdr:sp>
      <xdr:sp macro="" textlink="Cálculos!E8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295401" y="1447800"/>
            <a:ext cx="10477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D7341DF-33C3-443D-A4EE-D597F7C23685}" type="TxLink">
              <a:rPr lang="en-US" sz="1200" b="1" i="0" u="none" strike="noStrike">
                <a:solidFill>
                  <a:srgbClr val="000000"/>
                </a:solidFill>
                <a:latin typeface="Urbanist"/>
                <a:ea typeface="Urbanist"/>
                <a:cs typeface="Urbanist"/>
              </a:rPr>
              <a:pPr/>
              <a:t>14/ago/23</a:t>
            </a:fld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3</xdr:col>
      <xdr:colOff>523875</xdr:colOff>
      <xdr:row>4</xdr:row>
      <xdr:rowOff>85725</xdr:rowOff>
    </xdr:from>
    <xdr:to>
      <xdr:col>4</xdr:col>
      <xdr:colOff>1304925</xdr:colOff>
      <xdr:row>8</xdr:row>
      <xdr:rowOff>144525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2981325" y="1028700"/>
          <a:ext cx="2019300" cy="820800"/>
          <a:chOff x="2981325" y="1028700"/>
          <a:chExt cx="2019300" cy="820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2981325" y="1028700"/>
            <a:ext cx="2019300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3048000" y="1162050"/>
            <a:ext cx="186690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Data do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último Registro: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9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3048001" y="1447800"/>
            <a:ext cx="89534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CF1B0FB-2A77-4D7D-99A8-4585FDF01BC4}" type="TxLink">
              <a:rPr lang="en-US" sz="1200" b="1" i="0" u="none" strike="noStrike">
                <a:solidFill>
                  <a:srgbClr val="000000"/>
                </a:solidFill>
                <a:latin typeface="Urbanist"/>
                <a:ea typeface="Urbanist"/>
                <a:cs typeface="Urbanist"/>
              </a:rPr>
              <a:pPr/>
              <a:t>15/mar/22</a:t>
            </a:fld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10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3886201" y="1466850"/>
            <a:ext cx="1038224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77D66E3-189D-4815-A0F0-7D752C8D38AC}" type="TxLink">
              <a:rPr lang="en-US" sz="1000" b="0" i="0" u="none" strike="noStrike">
                <a:solidFill>
                  <a:srgbClr val="000000"/>
                </a:solidFill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pPr/>
              <a:t>(517 dias atrás)</a:t>
            </a:fld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4</xdr:col>
      <xdr:colOff>1600200</xdr:colOff>
      <xdr:row>4</xdr:row>
      <xdr:rowOff>85725</xdr:rowOff>
    </xdr:from>
    <xdr:to>
      <xdr:col>6</xdr:col>
      <xdr:colOff>114300</xdr:colOff>
      <xdr:row>8</xdr:row>
      <xdr:rowOff>144525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5295900" y="1028700"/>
          <a:ext cx="2324100" cy="820800"/>
          <a:chOff x="5295900" y="1028700"/>
          <a:chExt cx="2324100" cy="8208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5295900" y="1028700"/>
            <a:ext cx="2324100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5362575" y="1162050"/>
            <a:ext cx="20764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N</a:t>
            </a:r>
            <a:r>
              <a:rPr lang="pt-BR" sz="1200" b="1" i="0">
                <a:solidFill>
                  <a:schemeClr val="dk1"/>
                </a:solidFill>
                <a:effectLst/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° de</a:t>
            </a:r>
            <a:r>
              <a:rPr lang="pt-BR" sz="1200" b="1" i="0" baseline="0">
                <a:solidFill>
                  <a:schemeClr val="dk1"/>
                </a:solidFill>
                <a:effectLst/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Registros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11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5362576" y="1447800"/>
            <a:ext cx="41909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ECFA2DC-145F-4D00-9CC7-33301D8D0BC8}" type="TxLink">
              <a:rPr lang="en-US" sz="1200" b="1" i="0" u="none" strike="noStrike">
                <a:solidFill>
                  <a:srgbClr val="000000"/>
                </a:solidFill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pPr/>
              <a:t>59</a:t>
            </a:fld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12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5667376" y="1447800"/>
            <a:ext cx="1038224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A936F5F-EF43-4083-BF49-29ECE461731D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Urbanist" panose="020B0A04040200000203" pitchFamily="34" charset="0"/>
                <a:cs typeface="Calibri"/>
              </a:rPr>
              <a:pPr/>
              <a:t>(0 neste ano)</a:t>
            </a:fld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6</xdr:col>
      <xdr:colOff>400049</xdr:colOff>
      <xdr:row>4</xdr:row>
      <xdr:rowOff>85725</xdr:rowOff>
    </xdr:from>
    <xdr:to>
      <xdr:col>10</xdr:col>
      <xdr:colOff>123824</xdr:colOff>
      <xdr:row>8</xdr:row>
      <xdr:rowOff>144525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7905749" y="1028700"/>
          <a:ext cx="4743450" cy="820800"/>
          <a:chOff x="7905749" y="1028700"/>
          <a:chExt cx="4743450" cy="820800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7905749" y="1028700"/>
            <a:ext cx="4038601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7972425" y="1162050"/>
            <a:ext cx="20764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Saldo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Total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13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7943851" y="1447800"/>
            <a:ext cx="981074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6E26F16-21D8-4D29-BB2E-89587AB720B4}" type="TxLink">
              <a:rPr lang="en-US" sz="1200" b="1" i="0" u="none" strike="noStrike">
                <a:solidFill>
                  <a:srgbClr val="000000"/>
                </a:solidFill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pPr/>
              <a:t> R$ 2.620 </a:t>
            </a:fld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14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9258300" y="1466850"/>
            <a:ext cx="339089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297CA5-69AC-4B3E-8510-3C9403EFDB68}" type="TxLink">
              <a:rPr lang="en-US" sz="1000" b="0" i="0" u="none" strike="noStrike">
                <a:solidFill>
                  <a:srgbClr val="000000"/>
                </a:solidFill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pPr/>
              <a:t>de entrada rastreada para ser alocada</a:t>
            </a:fld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5</xdr:col>
      <xdr:colOff>0</xdr:colOff>
      <xdr:row>0</xdr:row>
      <xdr:rowOff>0</xdr:rowOff>
    </xdr:from>
    <xdr:to>
      <xdr:col>6</xdr:col>
      <xdr:colOff>371475</xdr:colOff>
      <xdr:row>1</xdr:row>
      <xdr:rowOff>352425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6076950" y="0"/>
          <a:ext cx="1800225" cy="542925"/>
          <a:chOff x="6200775" y="0"/>
          <a:chExt cx="1800225" cy="542925"/>
        </a:xfrm>
      </xdr:grpSpPr>
      <xdr:sp macro="" textlink="">
        <xdr:nvSpPr>
          <xdr:cNvPr id="43" name="Retângulo: Cantos Superiores Arredondados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44" name="Gráfico 43" descr="Lista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647700</xdr:colOff>
      <xdr:row>0</xdr:row>
      <xdr:rowOff>0</xdr:rowOff>
    </xdr:from>
    <xdr:to>
      <xdr:col>7</xdr:col>
      <xdr:colOff>781050</xdr:colOff>
      <xdr:row>1</xdr:row>
      <xdr:rowOff>352425</xdr:rowOff>
    </xdr:to>
    <xdr:sp macro="" textlink="">
      <xdr:nvSpPr>
        <xdr:cNvPr id="46" name="Retângulo: Cantos Superiores Arredondado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8153400" y="0"/>
          <a:ext cx="1800225" cy="542925"/>
        </a:xfrm>
        <a:prstGeom prst="round2SameRect">
          <a:avLst>
            <a:gd name="adj1" fmla="val 0"/>
            <a:gd name="adj2" fmla="val 28302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ACOMP.</a:t>
          </a:r>
        </a:p>
      </xdr:txBody>
    </xdr:sp>
    <xdr:clientData/>
  </xdr:twoCellAnchor>
  <xdr:twoCellAnchor>
    <xdr:from>
      <xdr:col>6</xdr:col>
      <xdr:colOff>725272</xdr:colOff>
      <xdr:row>0</xdr:row>
      <xdr:rowOff>92850</xdr:rowOff>
    </xdr:from>
    <xdr:to>
      <xdr:col>6</xdr:col>
      <xdr:colOff>977799</xdr:colOff>
      <xdr:row>1</xdr:row>
      <xdr:rowOff>154877</xdr:rowOff>
    </xdr:to>
    <xdr:pic>
      <xdr:nvPicPr>
        <xdr:cNvPr id="47" name="Gráfico 46" descr="Lápis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8230972" y="92850"/>
          <a:ext cx="252527" cy="252527"/>
        </a:xfrm>
        <a:prstGeom prst="rect">
          <a:avLst/>
        </a:prstGeom>
      </xdr:spPr>
    </xdr:pic>
    <xdr:clientData/>
  </xdr:twoCellAnchor>
  <xdr:twoCellAnchor editAs="absolute">
    <xdr:from>
      <xdr:col>7</xdr:col>
      <xdr:colOff>1057275</xdr:colOff>
      <xdr:row>0</xdr:row>
      <xdr:rowOff>0</xdr:rowOff>
    </xdr:from>
    <xdr:to>
      <xdr:col>9</xdr:col>
      <xdr:colOff>133350</xdr:colOff>
      <xdr:row>1</xdr:row>
      <xdr:rowOff>352425</xdr:rowOff>
    </xdr:to>
    <xdr:sp macro="" textlink="">
      <xdr:nvSpPr>
        <xdr:cNvPr id="49" name="Retângulo: Cantos Superiores Arredondados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10229850" y="0"/>
          <a:ext cx="1800225" cy="542925"/>
        </a:xfrm>
        <a:prstGeom prst="round2SameRect">
          <a:avLst>
            <a:gd name="adj1" fmla="val 0"/>
            <a:gd name="adj2" fmla="val 28302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DASHBOARD</a:t>
          </a:r>
        </a:p>
      </xdr:txBody>
    </xdr:sp>
    <xdr:clientData/>
  </xdr:twoCellAnchor>
  <xdr:twoCellAnchor>
    <xdr:from>
      <xdr:col>7</xdr:col>
      <xdr:colOff>1141609</xdr:colOff>
      <xdr:row>0</xdr:row>
      <xdr:rowOff>109500</xdr:rowOff>
    </xdr:from>
    <xdr:to>
      <xdr:col>7</xdr:col>
      <xdr:colOff>1394136</xdr:colOff>
      <xdr:row>1</xdr:row>
      <xdr:rowOff>171527</xdr:rowOff>
    </xdr:to>
    <xdr:pic>
      <xdr:nvPicPr>
        <xdr:cNvPr id="50" name="Gráfico 49" descr="Gráfico de pizza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flipH="1">
          <a:off x="10314184" y="109500"/>
          <a:ext cx="252527" cy="252527"/>
        </a:xfrm>
        <a:prstGeom prst="rect">
          <a:avLst/>
        </a:prstGeom>
      </xdr:spPr>
    </xdr:pic>
    <xdr:clientData/>
  </xdr:twoCellAnchor>
  <xdr:twoCellAnchor editAs="absolute">
    <xdr:from>
      <xdr:col>9</xdr:col>
      <xdr:colOff>409575</xdr:colOff>
      <xdr:row>0</xdr:row>
      <xdr:rowOff>0</xdr:rowOff>
    </xdr:from>
    <xdr:to>
      <xdr:col>12</xdr:col>
      <xdr:colOff>361950</xdr:colOff>
      <xdr:row>1</xdr:row>
      <xdr:rowOff>352425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pSpPr/>
      </xdr:nvGrpSpPr>
      <xdr:grpSpPr>
        <a:xfrm>
          <a:off x="12306300" y="0"/>
          <a:ext cx="1800225" cy="542925"/>
          <a:chOff x="12430125" y="0"/>
          <a:chExt cx="1800225" cy="542925"/>
        </a:xfrm>
      </xdr:grpSpPr>
      <xdr:sp macro="" textlink="">
        <xdr:nvSpPr>
          <xdr:cNvPr id="52" name="Retângulo: Cantos Superiores Arredondados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124301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53" name="Gráfico 52" descr="Calculadora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252122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28575</xdr:colOff>
      <xdr:row>0</xdr:row>
      <xdr:rowOff>0</xdr:rowOff>
    </xdr:from>
    <xdr:to>
      <xdr:col>16</xdr:col>
      <xdr:colOff>0</xdr:colOff>
      <xdr:row>1</xdr:row>
      <xdr:rowOff>352425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4382750" y="0"/>
          <a:ext cx="1800225" cy="542925"/>
          <a:chOff x="14506575" y="0"/>
          <a:chExt cx="1800225" cy="542925"/>
        </a:xfrm>
      </xdr:grpSpPr>
      <xdr:sp macro="" textlink="">
        <xdr:nvSpPr>
          <xdr:cNvPr id="55" name="Retângulo: Cantos Superiores Arredondados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145065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56" name="Gráfico 55" descr="Banco de dados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1460443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304800</xdr:colOff>
      <xdr:row>0</xdr:row>
      <xdr:rowOff>0</xdr:rowOff>
    </xdr:from>
    <xdr:to>
      <xdr:col>4</xdr:col>
      <xdr:colOff>2105025</xdr:colOff>
      <xdr:row>1</xdr:row>
      <xdr:rowOff>352425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000500" y="0"/>
          <a:ext cx="1800225" cy="542925"/>
          <a:chOff x="4152900" y="0"/>
          <a:chExt cx="1800225" cy="542925"/>
        </a:xfrm>
      </xdr:grpSpPr>
      <xdr:sp macro="" textlink="">
        <xdr:nvSpPr>
          <xdr:cNvPr id="61" name="Retângulo: Cantos Superiores Arredondado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41529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>
        <xdr:nvPicPr>
          <xdr:cNvPr id="62" name="Gráfico 61" descr="Engrenagem única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52900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276225</xdr:colOff>
      <xdr:row>0</xdr:row>
      <xdr:rowOff>0</xdr:rowOff>
    </xdr:from>
    <xdr:to>
      <xdr:col>19</xdr:col>
      <xdr:colOff>247650</xdr:colOff>
      <xdr:row>1</xdr:row>
      <xdr:rowOff>352425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pSpPr/>
      </xdr:nvGrpSpPr>
      <xdr:grpSpPr>
        <a:xfrm>
          <a:off x="16459200" y="0"/>
          <a:ext cx="1800225" cy="542925"/>
          <a:chOff x="16459200" y="0"/>
          <a:chExt cx="1800225" cy="542925"/>
        </a:xfrm>
      </xdr:grpSpPr>
      <xdr:sp macro="" textlink="">
        <xdr:nvSpPr>
          <xdr:cNvPr id="58" name="Retângulo: Cantos Superiores Arredondados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>
          <a:xfrm>
            <a:off x="164592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>
        <xdr:nvPicPr>
          <xdr:cNvPr id="63" name="Gráfico 62" descr="Trancar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6573500" y="95250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171451</xdr:colOff>
      <xdr:row>12</xdr:row>
      <xdr:rowOff>57150</xdr:rowOff>
    </xdr:from>
    <xdr:to>
      <xdr:col>34</xdr:col>
      <xdr:colOff>152401</xdr:colOff>
      <xdr:row>13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162926" y="2581275"/>
          <a:ext cx="27051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B05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Entradas</a:t>
          </a:r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 (Realizados)</a:t>
          </a:r>
        </a:p>
      </xdr:txBody>
    </xdr:sp>
    <xdr:clientData/>
  </xdr:twoCellAnchor>
  <xdr:twoCellAnchor editAs="oneCell">
    <xdr:from>
      <xdr:col>31</xdr:col>
      <xdr:colOff>200026</xdr:colOff>
      <xdr:row>14</xdr:row>
      <xdr:rowOff>104773</xdr:rowOff>
    </xdr:from>
    <xdr:to>
      <xdr:col>32</xdr:col>
      <xdr:colOff>485775</xdr:colOff>
      <xdr:row>22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171451</xdr:colOff>
      <xdr:row>25</xdr:row>
      <xdr:rowOff>57150</xdr:rowOff>
    </xdr:from>
    <xdr:ext cx="2705100" cy="29527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8162926" y="5057775"/>
          <a:ext cx="27051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FF505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Saídas</a:t>
          </a:r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 (Realizados)</a:t>
          </a:r>
        </a:p>
      </xdr:txBody>
    </xdr:sp>
    <xdr:clientData/>
  </xdr:oneCellAnchor>
  <xdr:oneCellAnchor>
    <xdr:from>
      <xdr:col>31</xdr:col>
      <xdr:colOff>200026</xdr:colOff>
      <xdr:row>27</xdr:row>
      <xdr:rowOff>104773</xdr:rowOff>
    </xdr:from>
    <xdr:ext cx="1571624" cy="1600201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38</xdr:col>
      <xdr:colOff>171451</xdr:colOff>
      <xdr:row>25</xdr:row>
      <xdr:rowOff>57150</xdr:rowOff>
    </xdr:from>
    <xdr:ext cx="2705100" cy="29527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3801726" y="5057775"/>
          <a:ext cx="27051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B0F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Investimentos</a:t>
          </a:r>
          <a:r>
            <a: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 (Realizados)</a:t>
          </a:r>
        </a:p>
      </xdr:txBody>
    </xdr:sp>
    <xdr:clientData/>
  </xdr:oneCellAnchor>
  <xdr:oneCellAnchor>
    <xdr:from>
      <xdr:col>38</xdr:col>
      <xdr:colOff>200026</xdr:colOff>
      <xdr:row>27</xdr:row>
      <xdr:rowOff>104773</xdr:rowOff>
    </xdr:from>
    <xdr:ext cx="1571624" cy="1600201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 editAs="oneCell">
    <xdr:from>
      <xdr:col>38</xdr:col>
      <xdr:colOff>171451</xdr:colOff>
      <xdr:row>12</xdr:row>
      <xdr:rowOff>57150</xdr:rowOff>
    </xdr:from>
    <xdr:to>
      <xdr:col>41</xdr:col>
      <xdr:colOff>152401</xdr:colOff>
      <xdr:row>13</xdr:row>
      <xdr:rowOff>161925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3801726" y="2581275"/>
          <a:ext cx="27051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ysClr val="windowText" lastClr="00000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Realizados</a:t>
          </a:r>
          <a:r>
            <a:rPr lang="pt-BR" sz="1100" b="1" baseline="0">
              <a:solidFill>
                <a:sysClr val="windowText" lastClr="00000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rPr>
            <a:t> (vs. Orçamento)</a:t>
          </a:r>
          <a:endParaRPr lang="pt-BR" sz="1100" b="1">
            <a:solidFill>
              <a:sysClr val="windowText" lastClr="000000"/>
            </a:solidFill>
            <a:latin typeface="Urbanist" panose="020B0A04040200000203" pitchFamily="34" charset="0"/>
            <a:ea typeface="Urbanist" panose="020B0A04040200000203" pitchFamily="34" charset="0"/>
            <a:cs typeface="Urbanist" panose="020B0A04040200000203" pitchFamily="34" charset="0"/>
          </a:endParaRPr>
        </a:p>
      </xdr:txBody>
    </xdr:sp>
    <xdr:clientData/>
  </xdr:twoCellAnchor>
  <xdr:twoCellAnchor>
    <xdr:from>
      <xdr:col>38</xdr:col>
      <xdr:colOff>161926</xdr:colOff>
      <xdr:row>14</xdr:row>
      <xdr:rowOff>95250</xdr:rowOff>
    </xdr:from>
    <xdr:to>
      <xdr:col>43</xdr:col>
      <xdr:colOff>314325</xdr:colOff>
      <xdr:row>23</xdr:row>
      <xdr:rowOff>187875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209550</xdr:colOff>
          <xdr:row>12</xdr:row>
          <xdr:rowOff>104775</xdr:rowOff>
        </xdr:from>
        <xdr:to>
          <xdr:col>43</xdr:col>
          <xdr:colOff>219075</xdr:colOff>
          <xdr:row>13</xdr:row>
          <xdr:rowOff>95250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Entrada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209550</xdr:colOff>
          <xdr:row>13</xdr:row>
          <xdr:rowOff>152400</xdr:rowOff>
        </xdr:from>
        <xdr:to>
          <xdr:col>43</xdr:col>
          <xdr:colOff>219075</xdr:colOff>
          <xdr:row>14</xdr:row>
          <xdr:rowOff>142875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Saída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723900</xdr:colOff>
          <xdr:row>13</xdr:row>
          <xdr:rowOff>152400</xdr:rowOff>
        </xdr:from>
        <xdr:to>
          <xdr:col>42</xdr:col>
          <xdr:colOff>123825</xdr:colOff>
          <xdr:row>14</xdr:row>
          <xdr:rowOff>142875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Investimento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723900</xdr:colOff>
          <xdr:row>12</xdr:row>
          <xdr:rowOff>104775</xdr:rowOff>
        </xdr:from>
        <xdr:to>
          <xdr:col>42</xdr:col>
          <xdr:colOff>123825</xdr:colOff>
          <xdr:row>13</xdr:row>
          <xdr:rowOff>95250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Orçamento</a:t>
              </a:r>
            </a:p>
          </xdr:txBody>
        </xdr:sp>
        <xdr:clientData/>
      </xdr:twoCellAnchor>
    </mc:Choice>
    <mc:Fallback/>
  </mc:AlternateContent>
  <xdr:twoCellAnchor>
    <xdr:from>
      <xdr:col>41</xdr:col>
      <xdr:colOff>704850</xdr:colOff>
      <xdr:row>12</xdr:row>
      <xdr:rowOff>76200</xdr:rowOff>
    </xdr:from>
    <xdr:to>
      <xdr:col>43</xdr:col>
      <xdr:colOff>109050</xdr:colOff>
      <xdr:row>15</xdr:row>
      <xdr:rowOff>5100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7059275" y="2600325"/>
          <a:ext cx="1461600" cy="500400"/>
        </a:xfrm>
        <a:prstGeom prst="rect">
          <a:avLst/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0</xdr:colOff>
      <xdr:row>4</xdr:row>
      <xdr:rowOff>95249</xdr:rowOff>
    </xdr:from>
    <xdr:to>
      <xdr:col>24</xdr:col>
      <xdr:colOff>829287</xdr:colOff>
      <xdr:row>8</xdr:row>
      <xdr:rowOff>132876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9200" y="1038224"/>
          <a:ext cx="829287" cy="837727"/>
        </a:xfrm>
        <a:prstGeom prst="rect">
          <a:avLst/>
        </a:prstGeom>
      </xdr:spPr>
    </xdr:pic>
    <xdr:clientData/>
  </xdr:twoCellAnchor>
  <xdr:twoCellAnchor>
    <xdr:from>
      <xdr:col>24</xdr:col>
      <xdr:colOff>1076326</xdr:colOff>
      <xdr:row>4</xdr:row>
      <xdr:rowOff>104775</xdr:rowOff>
    </xdr:from>
    <xdr:to>
      <xdr:col>26</xdr:col>
      <xdr:colOff>428626</xdr:colOff>
      <xdr:row>8</xdr:row>
      <xdr:rowOff>125475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2295526" y="1047750"/>
          <a:ext cx="2343150" cy="820800"/>
          <a:chOff x="2295525" y="1047750"/>
          <a:chExt cx="2556000" cy="8208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2295525" y="1047750"/>
            <a:ext cx="2556000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2362199" y="1181100"/>
            <a:ext cx="2271128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Ano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Selecionado &amp; Período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selected_year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2457450" y="1533524"/>
            <a:ext cx="695325" cy="238126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F1C094-0EB0-4FE3-A892-E0628B24A253}" type="TxLink">
              <a:rPr lang="en-US" sz="1000" b="1" i="0" u="none" strike="noStrike">
                <a:solidFill>
                  <a:srgbClr val="000000"/>
                </a:solidFill>
                <a:latin typeface="Urbanist"/>
                <a:ea typeface="Urbanist"/>
                <a:cs typeface="Urbanist"/>
              </a:rPr>
              <a:pPr algn="ctr"/>
              <a:t>2022</a:t>
            </a:fld>
            <a:endParaRPr lang="pt-BR" sz="1000" b="1"/>
          </a:p>
        </xdr:txBody>
      </xdr:sp>
      <xdr:sp macro="" textlink="selected_period_display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209924" y="1533524"/>
            <a:ext cx="900000" cy="238126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F02589-409E-4D16-929A-00CDB3A9422F}" type="TxLink">
              <a:rPr lang="en-US" sz="1000" b="1" i="0" u="none" strike="noStrike">
                <a:solidFill>
                  <a:srgbClr val="000000"/>
                </a:solidFill>
                <a:latin typeface="Urbanist"/>
                <a:ea typeface="Urbanist"/>
                <a:cs typeface="Urbanist"/>
              </a:rPr>
              <a:pPr algn="ctr"/>
              <a:t>Ano Total</a:t>
            </a:fld>
            <a:endParaRPr lang="pt-BR" sz="1000" b="1"/>
          </a:p>
        </xdr:txBody>
      </xdr:sp>
    </xdr:grpSp>
    <xdr:clientData/>
  </xdr:twoCellAnchor>
  <xdr:twoCellAnchor>
    <xdr:from>
      <xdr:col>26</xdr:col>
      <xdr:colOff>571500</xdr:colOff>
      <xdr:row>4</xdr:row>
      <xdr:rowOff>104775</xdr:rowOff>
    </xdr:from>
    <xdr:to>
      <xdr:col>28</xdr:col>
      <xdr:colOff>504825</xdr:colOff>
      <xdr:row>8</xdr:row>
      <xdr:rowOff>125475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4781550" y="1047750"/>
          <a:ext cx="1638300" cy="820800"/>
          <a:chOff x="5038725" y="1047750"/>
          <a:chExt cx="1638300" cy="820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5038725" y="1047750"/>
            <a:ext cx="1548000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5105400" y="1181100"/>
            <a:ext cx="15716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Período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Completo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graphicFrame macro="">
        <xdr:nvGraphicFramePr>
          <xdr:cNvPr id="31" name="Chart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GraphicFramePr>
            <a:graphicFrameLocks/>
          </xdr:cNvGraphicFramePr>
        </xdr:nvGraphicFramePr>
        <xdr:xfrm>
          <a:off x="5050725" y="1333500"/>
          <a:ext cx="1524000" cy="533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Cálculos!E24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 txBox="1"/>
        </xdr:nvSpPr>
        <xdr:spPr>
          <a:xfrm>
            <a:off x="5531738" y="1485900"/>
            <a:ext cx="5619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13128E1-77C6-42DE-B884-274AFF21EF06}" type="TxLink">
              <a:rPr lang="en-US" sz="1100" b="1" i="0" u="none" strike="noStrike">
                <a:solidFill>
                  <a:srgbClr val="002060"/>
                </a:solidFill>
                <a:latin typeface="Urbanist"/>
                <a:ea typeface="Urbanist"/>
                <a:cs typeface="Urbanist"/>
              </a:rPr>
              <a:pPr algn="ctr"/>
              <a:t>100%</a:t>
            </a:fld>
            <a:endParaRPr lang="pt-BR" sz="1100" b="1">
              <a:solidFill>
                <a:srgbClr val="00206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28</xdr:col>
      <xdr:colOff>561975</xdr:colOff>
      <xdr:row>4</xdr:row>
      <xdr:rowOff>104775</xdr:rowOff>
    </xdr:from>
    <xdr:to>
      <xdr:col>32</xdr:col>
      <xdr:colOff>1228725</xdr:colOff>
      <xdr:row>8</xdr:row>
      <xdr:rowOff>125475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6477000" y="1047750"/>
          <a:ext cx="4029075" cy="820800"/>
          <a:chOff x="7905749" y="1028700"/>
          <a:chExt cx="4038601" cy="820800"/>
        </a:xfrm>
      </xdr:grpSpPr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/>
        </xdr:nvSpPr>
        <xdr:spPr>
          <a:xfrm>
            <a:off x="7905749" y="1028700"/>
            <a:ext cx="4038601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 txBox="1"/>
        </xdr:nvSpPr>
        <xdr:spPr>
          <a:xfrm>
            <a:off x="7972425" y="1162050"/>
            <a:ext cx="20764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Saldo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do Período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25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 txBox="1"/>
        </xdr:nvSpPr>
        <xdr:spPr>
          <a:xfrm>
            <a:off x="7943851" y="1457325"/>
            <a:ext cx="981074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2F4FFF1-19AC-47DE-AC52-2DAD97BE70F7}" type="TxLink">
              <a:rPr lang="en-US" sz="1100" b="1" i="0" u="none" strike="noStrike">
                <a:solidFill>
                  <a:srgbClr val="002060"/>
                </a:solidFill>
                <a:latin typeface="Urbanist"/>
                <a:ea typeface="Urbanist"/>
                <a:cs typeface="Urbanist"/>
              </a:rPr>
              <a:pPr/>
              <a:t> 2.620 </a:t>
            </a:fld>
            <a:endParaRPr lang="pt-BR" sz="1100" b="1">
              <a:solidFill>
                <a:srgbClr val="002060"/>
              </a:solidFill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26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 txBox="1"/>
        </xdr:nvSpPr>
        <xdr:spPr>
          <a:xfrm>
            <a:off x="8972099" y="1447800"/>
            <a:ext cx="262889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F111828-D420-42A8-83E9-D345FDC2D8EA}" type="TxLink">
              <a:rPr lang="en-US" sz="1100" b="0" i="0" u="none" strike="noStrike">
                <a:solidFill>
                  <a:srgbClr val="000000"/>
                </a:solidFill>
                <a:latin typeface="Urbanist"/>
                <a:ea typeface="Urbanist"/>
                <a:cs typeface="Urbanist"/>
              </a:rPr>
              <a:pPr/>
              <a:t>de entrada rastreada para ser alocada</a:t>
            </a:fld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>
    <xdr:from>
      <xdr:col>33</xdr:col>
      <xdr:colOff>95250</xdr:colOff>
      <xdr:row>4</xdr:row>
      <xdr:rowOff>104775</xdr:rowOff>
    </xdr:from>
    <xdr:to>
      <xdr:col>38</xdr:col>
      <xdr:colOff>304800</xdr:colOff>
      <xdr:row>8</xdr:row>
      <xdr:rowOff>125475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0658475" y="1047750"/>
          <a:ext cx="3276600" cy="820800"/>
          <a:chOff x="10658475" y="1047750"/>
          <a:chExt cx="3276600" cy="820800"/>
        </a:xfrm>
      </xdr:grpSpPr>
      <xdr:sp macro="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10658475" y="1047750"/>
            <a:ext cx="3209925" cy="820800"/>
          </a:xfrm>
          <a:prstGeom prst="roundRect">
            <a:avLst>
              <a:gd name="adj" fmla="val 7383"/>
            </a:avLst>
          </a:prstGeom>
          <a:solidFill>
            <a:schemeClr val="bg1"/>
          </a:solidFill>
          <a:ln w="6350">
            <a:solidFill>
              <a:schemeClr val="bg1">
                <a:lumMod val="85000"/>
              </a:schemeClr>
            </a:solidFill>
          </a:ln>
          <a:effectLst>
            <a:outerShdw blurRad="825500" dist="127000" dir="5400000" sx="95000" sy="95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 txBox="1"/>
        </xdr:nvSpPr>
        <xdr:spPr>
          <a:xfrm>
            <a:off x="10724994" y="1181100"/>
            <a:ext cx="2514756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Taxa</a:t>
            </a:r>
            <a:r>
              <a:rPr lang="pt-BR" sz="12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de Investimento do Período</a:t>
            </a:r>
            <a:endParaRPr lang="pt-BR" sz="12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27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 txBox="1"/>
        </xdr:nvSpPr>
        <xdr:spPr>
          <a:xfrm>
            <a:off x="11972837" y="1457325"/>
            <a:ext cx="628738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D304700-5676-4270-A1FE-7CF82D8D51C5}" type="TxLink">
              <a:rPr lang="en-US" sz="1100" b="1" i="0" u="none" strike="noStrike">
                <a:solidFill>
                  <a:srgbClr val="00B0F0"/>
                </a:solidFill>
                <a:latin typeface="Urbanist"/>
                <a:ea typeface="Urbanist"/>
                <a:cs typeface="Urbanist"/>
              </a:rPr>
              <a:pPr algn="ctr"/>
              <a:t>22,7%</a:t>
            </a:fld>
            <a:endParaRPr lang="en-US" sz="1100" b="1" i="0" u="none" strike="noStrike">
              <a:solidFill>
                <a:srgbClr val="00B0F0"/>
              </a:solidFill>
              <a:latin typeface="Urbanist"/>
              <a:ea typeface="Urbanist"/>
              <a:cs typeface="Urbanist"/>
            </a:endParaRPr>
          </a:p>
        </xdr:txBody>
      </xdr:sp>
      <xdr:sp macro="" textlink="Cálculos!E26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 txBox="1"/>
        </xdr:nvSpPr>
        <xdr:spPr>
          <a:xfrm>
            <a:off x="10731710" y="1457325"/>
            <a:ext cx="144124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Você</a:t>
            </a:r>
            <a:r>
              <a:rPr lang="pt-BR" sz="10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esta investindo</a:t>
            </a:r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sp macro="" textlink="Cálculos!E26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 txBox="1"/>
        </xdr:nvSpPr>
        <xdr:spPr>
          <a:xfrm>
            <a:off x="12493835" y="1457325"/>
            <a:ext cx="144124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 sua renda</a:t>
            </a:r>
            <a:endParaRPr lang="pt-BR" sz="10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</xdr:grpSp>
    <xdr:clientData/>
  </xdr:twoCellAnchor>
  <xdr:twoCellAnchor editAs="absolute">
    <xdr:from>
      <xdr:col>27</xdr:col>
      <xdr:colOff>190500</xdr:colOff>
      <xdr:row>0</xdr:row>
      <xdr:rowOff>0</xdr:rowOff>
    </xdr:from>
    <xdr:to>
      <xdr:col>29</xdr:col>
      <xdr:colOff>285750</xdr:colOff>
      <xdr:row>1</xdr:row>
      <xdr:rowOff>352425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43525" y="0"/>
          <a:ext cx="1800225" cy="542925"/>
          <a:chOff x="6200775" y="0"/>
          <a:chExt cx="1800225" cy="542925"/>
        </a:xfrm>
      </xdr:grpSpPr>
      <xdr:sp macro="" textlink="">
        <xdr:nvSpPr>
          <xdr:cNvPr id="12" name="Retângulo: Cantos Superiores Arredondados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13" name="Gráfico 12" descr="Lista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561975</xdr:colOff>
      <xdr:row>0</xdr:row>
      <xdr:rowOff>0</xdr:rowOff>
    </xdr:from>
    <xdr:to>
      <xdr:col>31</xdr:col>
      <xdr:colOff>1228725</xdr:colOff>
      <xdr:row>1</xdr:row>
      <xdr:rowOff>352425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7419975" y="0"/>
          <a:ext cx="1800225" cy="542925"/>
          <a:chOff x="8277225" y="0"/>
          <a:chExt cx="1800225" cy="542925"/>
        </a:xfrm>
      </xdr:grpSpPr>
      <xdr:sp macro="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82772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17" name="Gráfico 16" descr="Lápis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8354797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32</xdr:col>
      <xdr:colOff>219075</xdr:colOff>
      <xdr:row>0</xdr:row>
      <xdr:rowOff>0</xdr:rowOff>
    </xdr:from>
    <xdr:to>
      <xdr:col>34</xdr:col>
      <xdr:colOff>581025</xdr:colOff>
      <xdr:row>1</xdr:row>
      <xdr:rowOff>352425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9496425" y="0"/>
          <a:ext cx="1800225" cy="542925"/>
          <a:chOff x="9496425" y="0"/>
          <a:chExt cx="1800225" cy="542925"/>
        </a:xfrm>
      </xdr:grpSpPr>
      <xdr:sp macro="[0]!AbrirDashboard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94964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 macro="[0]!AbrirDashboard">
        <xdr:nvPicPr>
          <xdr:cNvPr id="20" name="Gráfico 19" descr="Gráfico de pizza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 flipH="1">
            <a:off x="9580759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34</xdr:col>
      <xdr:colOff>857250</xdr:colOff>
      <xdr:row>0</xdr:row>
      <xdr:rowOff>0</xdr:rowOff>
    </xdr:from>
    <xdr:to>
      <xdr:col>37</xdr:col>
      <xdr:colOff>57150</xdr:colOff>
      <xdr:row>1</xdr:row>
      <xdr:rowOff>352425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11572875" y="0"/>
          <a:ext cx="1800225" cy="542925"/>
          <a:chOff x="12430125" y="0"/>
          <a:chExt cx="1800225" cy="542925"/>
        </a:xfrm>
      </xdr:grpSpPr>
      <xdr:sp macro="" textlink="">
        <xdr:nvSpPr>
          <xdr:cNvPr id="27" name="Retângulo: Cantos Superiores Arredondados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124301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38" name="Gráfico 37" descr="Calculadora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flipH="1">
            <a:off x="1252122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38</xdr:col>
      <xdr:colOff>19050</xdr:colOff>
      <xdr:row>0</xdr:row>
      <xdr:rowOff>0</xdr:rowOff>
    </xdr:from>
    <xdr:to>
      <xdr:col>39</xdr:col>
      <xdr:colOff>533400</xdr:colOff>
      <xdr:row>1</xdr:row>
      <xdr:rowOff>352425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3649325" y="0"/>
          <a:ext cx="1800225" cy="542925"/>
          <a:chOff x="14506575" y="0"/>
          <a:chExt cx="1800225" cy="542925"/>
        </a:xfrm>
      </xdr:grpSpPr>
      <xdr:sp macro="" textlink="">
        <xdr:nvSpPr>
          <xdr:cNvPr id="46" name="Retângulo: Cantos Superiores Arredondados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45065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47" name="Gráfico 46" descr="Banco de dados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 flipH="1">
            <a:off x="1460443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0</xdr:colOff>
      <xdr:row>0</xdr:row>
      <xdr:rowOff>0</xdr:rowOff>
    </xdr:from>
    <xdr:to>
      <xdr:col>26</xdr:col>
      <xdr:colOff>857250</xdr:colOff>
      <xdr:row>1</xdr:row>
      <xdr:rowOff>352425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/>
      </xdr:nvGrpSpPr>
      <xdr:grpSpPr>
        <a:xfrm>
          <a:off x="3267075" y="0"/>
          <a:ext cx="1800225" cy="542925"/>
          <a:chOff x="4152900" y="0"/>
          <a:chExt cx="1800225" cy="542925"/>
        </a:xfrm>
      </xdr:grpSpPr>
      <xdr:sp macro="[0]!AbrirConfigurações" textlink="">
        <xdr:nvSpPr>
          <xdr:cNvPr id="52" name="Retângulo: Cantos Superiores Arredondados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41529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 macro="[0]!AbrirConfigurações">
        <xdr:nvPicPr>
          <xdr:cNvPr id="53" name="Gráfico 52" descr="Engrenagem única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52900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39</xdr:col>
      <xdr:colOff>809625</xdr:colOff>
      <xdr:row>0</xdr:row>
      <xdr:rowOff>0</xdr:rowOff>
    </xdr:from>
    <xdr:to>
      <xdr:col>41</xdr:col>
      <xdr:colOff>1171575</xdr:colOff>
      <xdr:row>1</xdr:row>
      <xdr:rowOff>352425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pSpPr/>
      </xdr:nvGrpSpPr>
      <xdr:grpSpPr>
        <a:xfrm>
          <a:off x="15725775" y="0"/>
          <a:ext cx="1800225" cy="542925"/>
          <a:chOff x="15725775" y="0"/>
          <a:chExt cx="1800225" cy="542925"/>
        </a:xfrm>
      </xdr:grpSpPr>
      <xdr:sp macro="[0]!AbrirUsuario" textlink="">
        <xdr:nvSpPr>
          <xdr:cNvPr id="49" name="Retângulo: Cantos Superiores Arredondados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15725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 macro="[0]!AbrirUsuario">
        <xdr:nvPicPr>
          <xdr:cNvPr id="55" name="Gráfico 54" descr="Trancar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840075" y="8572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2076450</xdr:colOff>
      <xdr:row>0</xdr:row>
      <xdr:rowOff>0</xdr:rowOff>
    </xdr:from>
    <xdr:to>
      <xdr:col>6</xdr:col>
      <xdr:colOff>180975</xdr:colOff>
      <xdr:row>1</xdr:row>
      <xdr:rowOff>352425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286625" y="0"/>
          <a:ext cx="1800225" cy="542925"/>
          <a:chOff x="6200775" y="0"/>
          <a:chExt cx="1800225" cy="542925"/>
        </a:xfrm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4" name="Gráfico 3" descr="Lista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457200</xdr:colOff>
      <xdr:row>0</xdr:row>
      <xdr:rowOff>0</xdr:rowOff>
    </xdr:from>
    <xdr:to>
      <xdr:col>7</xdr:col>
      <xdr:colOff>1447800</xdr:colOff>
      <xdr:row>1</xdr:row>
      <xdr:rowOff>352425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9363075" y="0"/>
          <a:ext cx="1800225" cy="542925"/>
          <a:chOff x="8277225" y="0"/>
          <a:chExt cx="1800225" cy="542925"/>
        </a:xfrm>
      </xdr:grpSpPr>
      <xdr:sp macro="" textlink="">
        <xdr:nvSpPr>
          <xdr:cNvPr id="6" name="Retângulo: Cantos Superiores Arredondados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82772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7" name="Gráfico 6" descr="Lápis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8354797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1724025</xdr:colOff>
      <xdr:row>0</xdr:row>
      <xdr:rowOff>0</xdr:rowOff>
    </xdr:from>
    <xdr:to>
      <xdr:col>8</xdr:col>
      <xdr:colOff>1400175</xdr:colOff>
      <xdr:row>1</xdr:row>
      <xdr:rowOff>352425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439525" y="0"/>
          <a:ext cx="1800225" cy="542925"/>
          <a:chOff x="10353675" y="0"/>
          <a:chExt cx="1800225" cy="542925"/>
        </a:xfrm>
      </xdr:grpSpPr>
      <xdr:sp macro="" textlink="">
        <xdr:nvSpPr>
          <xdr:cNvPr id="9" name="Retângulo: Cantos Superiores Arredondados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03536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10438009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1676400</xdr:colOff>
      <xdr:row>0</xdr:row>
      <xdr:rowOff>0</xdr:rowOff>
    </xdr:from>
    <xdr:to>
      <xdr:col>9</xdr:col>
      <xdr:colOff>809625</xdr:colOff>
      <xdr:row>1</xdr:row>
      <xdr:rowOff>352425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3515975" y="0"/>
          <a:ext cx="1800225" cy="542925"/>
          <a:chOff x="13515975" y="0"/>
          <a:chExt cx="1800225" cy="542925"/>
        </a:xfrm>
      </xdr:grpSpPr>
      <xdr:sp macro="" textlink="">
        <xdr:nvSpPr>
          <xdr:cNvPr id="12" name="Retângulo: Cantos Superiores Arredondado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35159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13" name="Gráfico 12" descr="Calculadora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360707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1085850</xdr:colOff>
      <xdr:row>0</xdr:row>
      <xdr:rowOff>0</xdr:rowOff>
    </xdr:from>
    <xdr:to>
      <xdr:col>11</xdr:col>
      <xdr:colOff>133350</xdr:colOff>
      <xdr:row>1</xdr:row>
      <xdr:rowOff>352425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5592425" y="0"/>
          <a:ext cx="1800225" cy="542925"/>
          <a:chOff x="14506575" y="0"/>
          <a:chExt cx="1800225" cy="542925"/>
        </a:xfrm>
      </xdr:grpSpPr>
      <xdr:sp macro="" textlink="">
        <xdr:nvSpPr>
          <xdr:cNvPr id="15" name="Retângulo: Cantos Superiores Arredondado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45065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16" name="Gráfico 15" descr="Banco de dados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1460443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1800225</xdr:colOff>
      <xdr:row>1</xdr:row>
      <xdr:rowOff>352425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210175" y="0"/>
          <a:ext cx="1800225" cy="542925"/>
          <a:chOff x="4152900" y="0"/>
          <a:chExt cx="1800225" cy="542925"/>
        </a:xfrm>
      </xdr:grpSpPr>
      <xdr:sp macro="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41529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>
        <xdr:nvPicPr>
          <xdr:cNvPr id="22" name="Gráfico 21" descr="Engrenagem única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52900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409575</xdr:colOff>
      <xdr:row>0</xdr:row>
      <xdr:rowOff>0</xdr:rowOff>
    </xdr:from>
    <xdr:to>
      <xdr:col>12</xdr:col>
      <xdr:colOff>85725</xdr:colOff>
      <xdr:row>1</xdr:row>
      <xdr:rowOff>352425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17668875" y="0"/>
          <a:ext cx="1800225" cy="542925"/>
          <a:chOff x="17668875" y="0"/>
          <a:chExt cx="1800225" cy="542925"/>
        </a:xfrm>
      </xdr:grpSpPr>
      <xdr:sp macro="" textlink="">
        <xdr:nvSpPr>
          <xdr:cNvPr id="18" name="Retângulo: Cantos Superiores Arredondados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76688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>
        <xdr:nvPicPr>
          <xdr:cNvPr id="24" name="Gráfico 23" descr="Trancar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7773650" y="8572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1466850</xdr:colOff>
      <xdr:row>0</xdr:row>
      <xdr:rowOff>0</xdr:rowOff>
    </xdr:from>
    <xdr:to>
      <xdr:col>7</xdr:col>
      <xdr:colOff>57150</xdr:colOff>
      <xdr:row>1</xdr:row>
      <xdr:rowOff>352425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105400" y="0"/>
          <a:ext cx="1800225" cy="542925"/>
          <a:chOff x="6200775" y="0"/>
          <a:chExt cx="1800225" cy="542925"/>
        </a:xfrm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4" name="Gráfico 3" descr="Lista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333375</xdr:colOff>
      <xdr:row>0</xdr:row>
      <xdr:rowOff>0</xdr:rowOff>
    </xdr:from>
    <xdr:to>
      <xdr:col>10</xdr:col>
      <xdr:colOff>304800</xdr:colOff>
      <xdr:row>1</xdr:row>
      <xdr:rowOff>352425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7181850" y="0"/>
          <a:ext cx="1800225" cy="542925"/>
          <a:chOff x="8277225" y="0"/>
          <a:chExt cx="1800225" cy="542925"/>
        </a:xfrm>
      </xdr:grpSpPr>
      <xdr:sp macro="" textlink="">
        <xdr:nvSpPr>
          <xdr:cNvPr id="6" name="Retângulo: Cantos Superiores Arredondados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82772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7" name="Gráfico 6" descr="Lápis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8354797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581025</xdr:colOff>
      <xdr:row>0</xdr:row>
      <xdr:rowOff>0</xdr:rowOff>
    </xdr:from>
    <xdr:to>
      <xdr:col>13</xdr:col>
      <xdr:colOff>552450</xdr:colOff>
      <xdr:row>1</xdr:row>
      <xdr:rowOff>352425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9258300" y="0"/>
          <a:ext cx="1800225" cy="542925"/>
          <a:chOff x="10353675" y="0"/>
          <a:chExt cx="1800225" cy="542925"/>
        </a:xfrm>
      </xdr:grpSpPr>
      <xdr:sp macro="" textlink="">
        <xdr:nvSpPr>
          <xdr:cNvPr id="9" name="Retângulo: Cantos Superiores Arredondados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103536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10438009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219075</xdr:colOff>
      <xdr:row>0</xdr:row>
      <xdr:rowOff>0</xdr:rowOff>
    </xdr:from>
    <xdr:to>
      <xdr:col>17</xdr:col>
      <xdr:colOff>190500</xdr:colOff>
      <xdr:row>1</xdr:row>
      <xdr:rowOff>352425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1334750" y="0"/>
          <a:ext cx="1800225" cy="542925"/>
          <a:chOff x="12430125" y="0"/>
          <a:chExt cx="1800225" cy="542925"/>
        </a:xfrm>
      </xdr:grpSpPr>
      <xdr:sp macro="" textlink="">
        <xdr:nvSpPr>
          <xdr:cNvPr id="12" name="Retângulo: Cantos Superiores Arredondados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24301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13" name="Gráfico 12" descr="Calculadora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252122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466725</xdr:colOff>
      <xdr:row>0</xdr:row>
      <xdr:rowOff>0</xdr:rowOff>
    </xdr:from>
    <xdr:to>
      <xdr:col>20</xdr:col>
      <xdr:colOff>438150</xdr:colOff>
      <xdr:row>1</xdr:row>
      <xdr:rowOff>352425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pSpPr/>
      </xdr:nvGrpSpPr>
      <xdr:grpSpPr>
        <a:xfrm>
          <a:off x="13411200" y="0"/>
          <a:ext cx="1800225" cy="542925"/>
          <a:chOff x="13411200" y="0"/>
          <a:chExt cx="1800225" cy="542925"/>
        </a:xfrm>
      </xdr:grpSpPr>
      <xdr:sp macro="" textlink="">
        <xdr:nvSpPr>
          <xdr:cNvPr id="15" name="Retângulo: Cantos Superiores Arredondados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134112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16" name="Gráfico 15" descr="Banco de dados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13509058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1190625</xdr:colOff>
      <xdr:row>1</xdr:row>
      <xdr:rowOff>352425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3028950" y="0"/>
          <a:ext cx="1800225" cy="542925"/>
          <a:chOff x="4152900" y="0"/>
          <a:chExt cx="1800225" cy="542925"/>
        </a:xfrm>
      </xdr:grpSpPr>
      <xdr:sp macro="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41529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>
        <xdr:nvPicPr>
          <xdr:cNvPr id="22" name="Gráfico 21" descr="Engrenagem única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52900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104775</xdr:colOff>
      <xdr:row>0</xdr:row>
      <xdr:rowOff>0</xdr:rowOff>
    </xdr:from>
    <xdr:to>
      <xdr:col>24</xdr:col>
      <xdr:colOff>76200</xdr:colOff>
      <xdr:row>1</xdr:row>
      <xdr:rowOff>352425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5487650" y="0"/>
          <a:ext cx="1800225" cy="542925"/>
          <a:chOff x="15487650" y="0"/>
          <a:chExt cx="1800225" cy="542925"/>
        </a:xfrm>
      </xdr:grpSpPr>
      <xdr:sp macro="" textlink="">
        <xdr:nvSpPr>
          <xdr:cNvPr id="18" name="Retângulo: Cantos Superiores Arredondados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1548765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</a:t>
            </a:r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>
        <xdr:nvPicPr>
          <xdr:cNvPr id="24" name="Gráfico 23" descr="Trancar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5592425" y="95250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523875</xdr:colOff>
      <xdr:row>0</xdr:row>
      <xdr:rowOff>0</xdr:rowOff>
    </xdr:from>
    <xdr:to>
      <xdr:col>9</xdr:col>
      <xdr:colOff>495300</xdr:colOff>
      <xdr:row>1</xdr:row>
      <xdr:rowOff>352425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6524625" y="0"/>
          <a:ext cx="1800225" cy="542925"/>
          <a:chOff x="6200775" y="0"/>
          <a:chExt cx="1800225" cy="542925"/>
        </a:xfrm>
      </xdr:grpSpPr>
      <xdr:sp macro="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62007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PLANEJAMENTO</a:t>
            </a:r>
          </a:p>
        </xdr:txBody>
      </xdr:sp>
      <xdr:pic>
        <xdr:nvPicPr>
          <xdr:cNvPr id="5" name="Gráfico 4" descr="Lista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6271585" y="952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161925</xdr:colOff>
      <xdr:row>0</xdr:row>
      <xdr:rowOff>0</xdr:rowOff>
    </xdr:from>
    <xdr:to>
      <xdr:col>12</xdr:col>
      <xdr:colOff>742950</xdr:colOff>
      <xdr:row>1</xdr:row>
      <xdr:rowOff>352425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8601075" y="0"/>
          <a:ext cx="1800225" cy="542925"/>
          <a:chOff x="8277225" y="0"/>
          <a:chExt cx="1800225" cy="542925"/>
        </a:xfrm>
      </xdr:grpSpPr>
      <xdr:sp macro="" textlink="">
        <xdr:nvSpPr>
          <xdr:cNvPr id="7" name="Retângulo: Cantos Superiores Arredondados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82772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ACOMP.</a:t>
            </a:r>
          </a:p>
        </xdr:txBody>
      </xdr:sp>
      <xdr:pic>
        <xdr:nvPicPr>
          <xdr:cNvPr id="8" name="Gráfico 7" descr="Lápis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flipH="1">
            <a:off x="8354797" y="9285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38100</xdr:colOff>
      <xdr:row>0</xdr:row>
      <xdr:rowOff>0</xdr:rowOff>
    </xdr:from>
    <xdr:to>
      <xdr:col>13</xdr:col>
      <xdr:colOff>1838325</xdr:colOff>
      <xdr:row>1</xdr:row>
      <xdr:rowOff>352425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10677525" y="0"/>
          <a:ext cx="1800225" cy="542925"/>
          <a:chOff x="10353675" y="0"/>
          <a:chExt cx="1800225" cy="542925"/>
        </a:xfrm>
      </xdr:grpSpPr>
      <xdr:sp macro="[0]!AbrirDashboard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03536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DASHBOARD</a:t>
            </a:r>
          </a:p>
        </xdr:txBody>
      </xdr:sp>
      <xdr:pic macro="[0]!AbrirDashboard">
        <xdr:nvPicPr>
          <xdr:cNvPr id="11" name="Gráfico 10" descr="Gráfico de pizza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10438009" y="1095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2114550</xdr:colOff>
      <xdr:row>0</xdr:row>
      <xdr:rowOff>0</xdr:rowOff>
    </xdr:from>
    <xdr:to>
      <xdr:col>13</xdr:col>
      <xdr:colOff>3914775</xdr:colOff>
      <xdr:row>1</xdr:row>
      <xdr:rowOff>352425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2753975" y="0"/>
          <a:ext cx="1800225" cy="542925"/>
          <a:chOff x="12430125" y="0"/>
          <a:chExt cx="1800225" cy="542925"/>
        </a:xfrm>
      </xdr:grpSpPr>
      <xdr:sp macro="" textlink="">
        <xdr:nvSpPr>
          <xdr:cNvPr id="13" name="Retângulo: Cantos Superiores Arredondados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243012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CÁLCULOS</a:t>
            </a:r>
          </a:p>
        </xdr:txBody>
      </xdr:sp>
      <xdr:pic>
        <xdr:nvPicPr>
          <xdr:cNvPr id="14" name="Gráfico 13" descr="Calculadora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12521221" y="107100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114300</xdr:colOff>
      <xdr:row>0</xdr:row>
      <xdr:rowOff>0</xdr:rowOff>
    </xdr:from>
    <xdr:to>
      <xdr:col>17</xdr:col>
      <xdr:colOff>85725</xdr:colOff>
      <xdr:row>1</xdr:row>
      <xdr:rowOff>352425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pSpPr/>
      </xdr:nvGrpSpPr>
      <xdr:grpSpPr>
        <a:xfrm>
          <a:off x="14830425" y="0"/>
          <a:ext cx="1800225" cy="542925"/>
          <a:chOff x="14506575" y="0"/>
          <a:chExt cx="1800225" cy="542925"/>
        </a:xfrm>
      </xdr:grpSpPr>
      <xdr:sp macro="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45065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DADOS</a:t>
            </a:r>
          </a:p>
        </xdr:txBody>
      </xdr:sp>
      <xdr:pic>
        <xdr:nvPicPr>
          <xdr:cNvPr id="17" name="Gráfico 16" descr="Banco de dados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14604433" y="114225"/>
            <a:ext cx="252527" cy="25252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295275</xdr:colOff>
      <xdr:row>0</xdr:row>
      <xdr:rowOff>0</xdr:rowOff>
    </xdr:from>
    <xdr:to>
      <xdr:col>6</xdr:col>
      <xdr:colOff>247650</xdr:colOff>
      <xdr:row>1</xdr:row>
      <xdr:rowOff>352425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pSpPr/>
      </xdr:nvGrpSpPr>
      <xdr:grpSpPr>
        <a:xfrm>
          <a:off x="4448175" y="0"/>
          <a:ext cx="1800225" cy="542925"/>
          <a:chOff x="4152900" y="0"/>
          <a:chExt cx="1800225" cy="542925"/>
        </a:xfrm>
      </xdr:grpSpPr>
      <xdr:sp macro="[0]!AbrirConfigurações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4152900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CONFIGURAÇÕES</a:t>
            </a:r>
          </a:p>
        </xdr:txBody>
      </xdr:sp>
      <xdr:pic macro="[0]!AbrirConfigurações">
        <xdr:nvPicPr>
          <xdr:cNvPr id="23" name="Gráfico 22" descr="Engrenagem única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52900" y="1047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361950</xdr:colOff>
      <xdr:row>0</xdr:row>
      <xdr:rowOff>0</xdr:rowOff>
    </xdr:from>
    <xdr:to>
      <xdr:col>20</xdr:col>
      <xdr:colOff>333375</xdr:colOff>
      <xdr:row>1</xdr:row>
      <xdr:rowOff>352425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16906875" y="0"/>
          <a:ext cx="1800225" cy="542925"/>
          <a:chOff x="16906875" y="0"/>
          <a:chExt cx="1800225" cy="542925"/>
        </a:xfrm>
      </xdr:grpSpPr>
      <xdr:sp macro="[0]!AbrirUsuario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16906875" y="0"/>
            <a:ext cx="1800225" cy="542925"/>
          </a:xfrm>
          <a:prstGeom prst="round2SameRect">
            <a:avLst>
              <a:gd name="adj1" fmla="val 0"/>
              <a:gd name="adj2" fmla="val 28302"/>
            </a:avLst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baseline="0">
                <a:latin typeface="Urbanist" panose="020B0A04040200000203" pitchFamily="34" charset="0"/>
                <a:ea typeface="Urbanist" panose="020B0A04040200000203" pitchFamily="34" charset="0"/>
                <a:cs typeface="Urbanist" panose="020B0A04040200000203" pitchFamily="34" charset="0"/>
              </a:rPr>
              <a:t>B. USUÁRIOS</a:t>
            </a:r>
            <a:endParaRPr lang="pt-BR" sz="1100" b="1">
              <a:latin typeface="Urbanist" panose="020B0A04040200000203" pitchFamily="34" charset="0"/>
              <a:ea typeface="Urbanist" panose="020B0A04040200000203" pitchFamily="34" charset="0"/>
              <a:cs typeface="Urbanist" panose="020B0A04040200000203" pitchFamily="34" charset="0"/>
            </a:endParaRPr>
          </a:p>
        </xdr:txBody>
      </xdr:sp>
      <xdr:pic macro="[0]!AbrirUsuario">
        <xdr:nvPicPr>
          <xdr:cNvPr id="25" name="Gráfico 24" descr="Trancar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7030700" y="1047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8D5AAF-ED5B-4EBB-9DF6-EB86432301F4}" name="Entrada" displayName="Entrada" ref="C9:C12" totalsRowShown="0" headerRowDxfId="52" dataDxfId="51">
  <autoFilter ref="C9:C12" xr:uid="{4D8D5AAF-ED5B-4EBB-9DF6-EB86432301F4}">
    <filterColumn colId="0" hiddenButton="1"/>
  </autoFilter>
  <tableColumns count="1">
    <tableColumn id="1" xr3:uid="{F2865BEB-1F80-44CD-AE0E-008BAA9624E7}" name="Entrada" dataDxfId="50"/>
  </tableColumns>
  <tableStyleInfo name="Income Table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ECBE62-184E-4090-80AE-601010DA1ED2}" name="Saída" displayName="Saída" ref="C22:C31" totalsRowShown="0" headerRowDxfId="49" dataDxfId="48">
  <autoFilter ref="C22:C31" xr:uid="{4DECBE62-184E-4090-80AE-601010DA1ED2}">
    <filterColumn colId="0" hiddenButton="1"/>
  </autoFilter>
  <tableColumns count="1">
    <tableColumn id="1" xr3:uid="{113575F7-2BA7-4927-9E55-768920BBF8ED}" name="Saída" dataDxfId="47"/>
  </tableColumns>
  <tableStyleInfo name="Expenses Table 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FBAC62-8607-48F5-A15E-1D33A6757664}" name="Investimento" displayName="Investimento" ref="C38:C43" totalsRowShown="0" headerRowDxfId="46" dataDxfId="45">
  <autoFilter ref="C38:C43" xr:uid="{3DFBAC62-8607-48F5-A15E-1D33A6757664}">
    <filterColumn colId="0" hiddenButton="1"/>
  </autoFilter>
  <tableColumns count="1">
    <tableColumn id="1" xr3:uid="{C59EB85E-E661-4F41-BFEE-B5D8CB74FE2B}" name="Investimento" dataDxfId="44"/>
  </tableColumns>
  <tableStyleInfo name="Savings Table 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87300-FCB1-48B5-8EFE-DBA432C1E4F9}" name="Tracking" displayName="Tracking" ref="C11:I70" totalsRowShown="0" headerRowDxfId="40" dataDxfId="39">
  <autoFilter ref="C11:I70" xr:uid="{72987300-FCB1-48B5-8EFE-DBA432C1E4F9}"/>
  <sortState xmlns:xlrd2="http://schemas.microsoft.com/office/spreadsheetml/2017/richdata2" ref="C12:I70">
    <sortCondition ref="C11:C70"/>
  </sortState>
  <tableColumns count="7">
    <tableColumn id="1" xr3:uid="{87278474-DB8A-4533-AD0A-8B1E4638E3F1}" name="Data" dataDxfId="38"/>
    <tableColumn id="2" xr3:uid="{FBD876BA-3C77-470B-8FAD-0E3738A61DF6}" name="Tipo" dataDxfId="37"/>
    <tableColumn id="3" xr3:uid="{0E98468D-F0F4-4834-BA6F-0146AF152649}" name="Categoria" dataDxfId="36"/>
    <tableColumn id="4" xr3:uid="{9B62E353-F4AC-41DF-8415-B9AE8C5943C6}" name="Montante" dataDxfId="35"/>
    <tableColumn id="5" xr3:uid="{5B25B1F3-98EE-4E32-9387-D7A0E12B2814}" name="Detalhes" dataDxfId="34"/>
    <tableColumn id="6" xr3:uid="{861F95FA-92D1-4C9A-86BD-D3CE9A16FAAF}" name="Saldo" dataDxfId="33">
      <calculatedColumnFormula>SUMPRODUCT(Tracking[Montante], --(Tracking[Data]&lt;=Tracking[[#This Row],[Data]]), (Tracking[Tipo]&lt;&gt;"Entrada") * (-1) + (Tracking[Tipo]="Entrada"))</calculatedColumnFormula>
    </tableColumn>
    <tableColumn id="7" xr3:uid="{4B2FDE9F-2B47-475F-BDCD-6EAD27B1E6FC}" name="Data Efetiva" dataDxfId="32">
      <calculatedColumnFormula>IF(AND(Tracking[[#This Row],[Tipo]]="Entrada", shift_late_income_status="Ativo", DAY(Tracking[[#This Row],[Data]])&gt;=shift_late_income_starting_day),
    DATE(YEAR(Tracking[[#This Row],[Data]]), MONTH(Tracking[[#This Row],[Data]])+1, 1),
    Tracking[[#This Row],[Data]])</calculatedColumnFormula>
    </tableColumn>
  </tableColumns>
  <tableStyleInfo name="Tracking Table 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D6CA03-D831-46B9-87FB-35034443A007}" name="Tabela5" displayName="Tabela5" ref="B6:F9" totalsRowShown="0" headerRowDxfId="6" dataDxfId="5">
  <autoFilter ref="B6:F9" xr:uid="{F7D6CA03-D831-46B9-87FB-35034443A007}"/>
  <tableColumns count="5">
    <tableColumn id="1" xr3:uid="{5DF9D6C7-0FA4-41F9-B077-8AC720C29A4B}" name="ID" dataDxfId="4"/>
    <tableColumn id="2" xr3:uid="{E52FE01C-C773-434A-8C2A-CAEB07073BE7}" name="Nome" dataDxfId="3"/>
    <tableColumn id="3" xr3:uid="{8FE1041C-7ECF-42CE-B336-5E05E7BFB53A}" name="Usuário" dataDxfId="2"/>
    <tableColumn id="4" xr3:uid="{D5E1E99E-599B-4380-990B-421D7B19345A}" name="Senha" dataDxfId="1"/>
    <tableColumn id="5" xr3:uid="{11F0FFC2-6C9D-41A7-A975-471F8B890C17}" name="Permissão" dataDxfId="0"/>
  </tableColumns>
  <tableStyleInfo name="Tracking Table 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761D6-1F3B-4815-B0CA-B55A0FFD2071}">
  <sheetPr codeName="Sheet2">
    <tabColor theme="4" tint="-0.499984740745262"/>
  </sheetPr>
  <dimension ref="C1:AA26"/>
  <sheetViews>
    <sheetView showGridLines="0" tabSelected="1" workbookViewId="0">
      <pane ySplit="3" topLeftCell="A4" activePane="bottomLeft" state="frozen"/>
      <selection pane="bottomLeft" activeCell="J12" sqref="J12"/>
    </sheetView>
  </sheetViews>
  <sheetFormatPr defaultRowHeight="15"/>
  <cols>
    <col min="3" max="3" width="2.85546875" customWidth="1"/>
    <col min="4" max="4" width="40.7109375" bestFit="1" customWidth="1"/>
    <col min="5" max="5" width="31.5703125" customWidth="1"/>
    <col min="6" max="6" width="2.42578125" customWidth="1"/>
    <col min="7" max="7" width="78.42578125" customWidth="1"/>
    <col min="8" max="8" width="2.85546875" customWidth="1"/>
    <col min="26" max="26" width="17.140625" bestFit="1" customWidth="1"/>
  </cols>
  <sheetData>
    <row r="1" spans="3:27" s="1" customFormat="1"/>
    <row r="2" spans="3:27" s="1" customFormat="1" ht="29.25">
      <c r="C2" s="2" t="s">
        <v>0</v>
      </c>
    </row>
    <row r="3" spans="3:27" s="1" customFormat="1"/>
    <row r="5" spans="3:27" ht="16.5">
      <c r="Z5" s="107" t="s">
        <v>132</v>
      </c>
      <c r="AA5" s="109" t="s">
        <v>137</v>
      </c>
    </row>
    <row r="6" spans="3:27" ht="16.5">
      <c r="C6" s="116" t="s">
        <v>6</v>
      </c>
      <c r="D6" s="117"/>
      <c r="E6" s="117"/>
      <c r="F6" s="117"/>
      <c r="G6" s="117"/>
      <c r="H6" s="117"/>
      <c r="Z6" s="108" t="s">
        <v>133</v>
      </c>
      <c r="AA6" s="109" t="s">
        <v>128</v>
      </c>
    </row>
    <row r="7" spans="3:27" ht="16.5">
      <c r="C7" s="3"/>
      <c r="D7" s="4"/>
      <c r="E7" s="4"/>
      <c r="F7" s="4"/>
      <c r="G7" s="4"/>
      <c r="H7" s="5"/>
    </row>
    <row r="8" spans="3:27" ht="16.5">
      <c r="C8" s="3"/>
      <c r="D8" s="9" t="s">
        <v>7</v>
      </c>
      <c r="E8" s="10">
        <v>2022</v>
      </c>
      <c r="F8" s="4"/>
      <c r="G8" s="11" t="s">
        <v>8</v>
      </c>
      <c r="H8" s="5"/>
    </row>
    <row r="9" spans="3:27" ht="16.5">
      <c r="C9" s="6"/>
      <c r="D9" s="7"/>
      <c r="E9" s="7"/>
      <c r="F9" s="7"/>
      <c r="G9" s="7"/>
      <c r="H9" s="8"/>
    </row>
    <row r="12" spans="3:27" ht="16.5">
      <c r="C12" s="116" t="s">
        <v>42</v>
      </c>
      <c r="D12" s="117"/>
      <c r="E12" s="117"/>
      <c r="F12" s="117"/>
      <c r="G12" s="117"/>
      <c r="H12" s="117"/>
    </row>
    <row r="13" spans="3:27" ht="16.5">
      <c r="C13" s="3"/>
      <c r="D13" s="4"/>
      <c r="E13" s="4"/>
      <c r="F13" s="4"/>
      <c r="G13" s="4"/>
      <c r="H13" s="5"/>
    </row>
    <row r="14" spans="3:27" ht="17.25">
      <c r="C14" s="3"/>
      <c r="D14" s="35" t="s">
        <v>43</v>
      </c>
      <c r="E14" s="4"/>
      <c r="F14" s="4"/>
      <c r="G14" s="4"/>
      <c r="H14" s="5"/>
    </row>
    <row r="15" spans="3:27" ht="16.5">
      <c r="C15" s="3"/>
      <c r="D15" s="4"/>
      <c r="E15" s="4"/>
      <c r="F15" s="4"/>
      <c r="G15" s="4"/>
      <c r="H15" s="5"/>
    </row>
    <row r="16" spans="3:27" ht="16.5">
      <c r="C16" s="3"/>
      <c r="D16" s="13" t="s">
        <v>44</v>
      </c>
      <c r="E16" s="10" t="s">
        <v>45</v>
      </c>
      <c r="F16" s="4"/>
      <c r="G16" s="118" t="s">
        <v>47</v>
      </c>
      <c r="H16" s="5"/>
    </row>
    <row r="17" spans="3:8" ht="10.5" customHeight="1">
      <c r="C17" s="3"/>
      <c r="D17" s="4"/>
      <c r="E17" s="4"/>
      <c r="F17" s="4"/>
      <c r="G17" s="118"/>
      <c r="H17" s="5"/>
    </row>
    <row r="18" spans="3:8" ht="16.5">
      <c r="C18" s="36"/>
      <c r="D18" s="13" t="s">
        <v>46</v>
      </c>
      <c r="E18" s="10">
        <v>20</v>
      </c>
      <c r="G18" s="118"/>
      <c r="H18" s="37"/>
    </row>
    <row r="19" spans="3:8">
      <c r="C19" s="36"/>
      <c r="H19" s="37"/>
    </row>
    <row r="20" spans="3:8" ht="17.25">
      <c r="C20" s="36"/>
      <c r="D20" s="35" t="s">
        <v>115</v>
      </c>
      <c r="H20" s="37"/>
    </row>
    <row r="21" spans="3:8">
      <c r="C21" s="36"/>
      <c r="H21" s="37"/>
    </row>
    <row r="22" spans="3:8" ht="16.5">
      <c r="C22" s="36"/>
      <c r="D22" s="13" t="s">
        <v>116</v>
      </c>
      <c r="E22" s="10" t="s">
        <v>117</v>
      </c>
      <c r="G22" s="118" t="s">
        <v>118</v>
      </c>
      <c r="H22" s="37"/>
    </row>
    <row r="23" spans="3:8">
      <c r="C23" s="36"/>
      <c r="G23" s="118"/>
      <c r="H23" s="37"/>
    </row>
    <row r="24" spans="3:8">
      <c r="C24" s="36"/>
      <c r="G24" s="118"/>
      <c r="H24" s="37"/>
    </row>
    <row r="25" spans="3:8">
      <c r="C25" s="36"/>
      <c r="G25" s="93"/>
      <c r="H25" s="37"/>
    </row>
    <row r="26" spans="3:8">
      <c r="C26" s="38"/>
      <c r="D26" s="39"/>
      <c r="E26" s="39"/>
      <c r="F26" s="39"/>
      <c r="G26" s="39"/>
      <c r="H26" s="40"/>
    </row>
  </sheetData>
  <mergeCells count="4">
    <mergeCell ref="C6:H6"/>
    <mergeCell ref="C12:H12"/>
    <mergeCell ref="G16:G18"/>
    <mergeCell ref="G22:G24"/>
  </mergeCells>
  <conditionalFormatting sqref="E18">
    <cfRule type="expression" dxfId="71" priority="1">
      <formula>shift_late_income_status="Inativo"</formula>
    </cfRule>
  </conditionalFormatting>
  <dataValidations count="2">
    <dataValidation type="list" allowBlank="1" showInputMessage="1" showErrorMessage="1" sqref="E16" xr:uid="{244103AB-96E9-493B-A30A-D7AB6C380A33}">
      <formula1>"Ativo, Inativo"</formula1>
    </dataValidation>
    <dataValidation type="list" allowBlank="1" showInputMessage="1" showErrorMessage="1" sqref="E22" xr:uid="{01887D26-9757-4241-99A9-6EDABF97FACA}">
      <formula1>"% alocado para Investimento, % não alocado para Despesa"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54DD-8D53-47AF-8191-31564A1A1893}">
  <sheetPr codeName="Sheet3">
    <tabColor theme="4" tint="-0.499984740745262"/>
  </sheetPr>
  <dimension ref="C1:EM49"/>
  <sheetViews>
    <sheetView showGridLines="0" workbookViewId="0">
      <pane xSplit="3" topLeftCell="D1" activePane="topRight" state="frozen"/>
      <selection pane="topRight" activeCell="BU2" sqref="BU2"/>
    </sheetView>
  </sheetViews>
  <sheetFormatPr defaultRowHeight="15" outlineLevelCol="1"/>
  <cols>
    <col min="2" max="2" width="4.28515625" customWidth="1"/>
    <col min="3" max="3" width="35.7109375" customWidth="1"/>
    <col min="4" max="4" width="1.7109375" customWidth="1"/>
    <col min="5" max="5" width="13.7109375" customWidth="1" outlineLevel="1"/>
    <col min="6" max="16" width="14.5703125" customWidth="1" outlineLevel="1"/>
    <col min="17" max="17" width="16" bestFit="1" customWidth="1"/>
    <col min="18" max="18" width="1.7109375" customWidth="1"/>
    <col min="19" max="19" width="13.7109375" hidden="1" customWidth="1" outlineLevel="1"/>
    <col min="20" max="30" width="14.5703125" hidden="1" customWidth="1" outlineLevel="1"/>
    <col min="31" max="31" width="16" bestFit="1" customWidth="1" collapsed="1"/>
    <col min="32" max="32" width="1.7109375" customWidth="1"/>
    <col min="33" max="33" width="13.7109375" hidden="1" customWidth="1" outlineLevel="1"/>
    <col min="34" max="44" width="14.5703125" hidden="1" customWidth="1" outlineLevel="1"/>
    <col min="45" max="45" width="16" bestFit="1" customWidth="1" collapsed="1"/>
    <col min="46" max="46" width="1.7109375" customWidth="1"/>
    <col min="47" max="47" width="13.7109375" hidden="1" customWidth="1" outlineLevel="1"/>
    <col min="48" max="58" width="14.5703125" hidden="1" customWidth="1" outlineLevel="1"/>
    <col min="59" max="59" width="16" bestFit="1" customWidth="1" collapsed="1"/>
    <col min="60" max="60" width="1.7109375" customWidth="1"/>
    <col min="61" max="61" width="13.7109375" hidden="1" customWidth="1" outlineLevel="1"/>
    <col min="62" max="72" width="14.5703125" hidden="1" customWidth="1" outlineLevel="1"/>
    <col min="73" max="73" width="16" bestFit="1" customWidth="1" collapsed="1"/>
    <col min="74" max="74" width="1.7109375" customWidth="1"/>
    <col min="75" max="75" width="13.7109375" hidden="1" customWidth="1" outlineLevel="1"/>
    <col min="76" max="86" width="14.5703125" hidden="1" customWidth="1" outlineLevel="1"/>
    <col min="87" max="87" width="16" bestFit="1" customWidth="1" collapsed="1"/>
    <col min="88" max="88" width="1.7109375" customWidth="1"/>
    <col min="89" max="89" width="13.7109375" hidden="1" customWidth="1" outlineLevel="1"/>
    <col min="90" max="100" width="14.5703125" hidden="1" customWidth="1" outlineLevel="1"/>
    <col min="101" max="101" width="16" bestFit="1" customWidth="1" collapsed="1"/>
    <col min="102" max="102" width="1.7109375" customWidth="1"/>
    <col min="103" max="103" width="13.7109375" hidden="1" customWidth="1" outlineLevel="1"/>
    <col min="104" max="114" width="14.5703125" hidden="1" customWidth="1" outlineLevel="1"/>
    <col min="115" max="115" width="16" bestFit="1" customWidth="1" collapsed="1"/>
    <col min="116" max="116" width="1.7109375" customWidth="1"/>
    <col min="117" max="117" width="13.7109375" hidden="1" customWidth="1" outlineLevel="1"/>
    <col min="118" max="128" width="14.5703125" hidden="1" customWidth="1" outlineLevel="1"/>
    <col min="129" max="129" width="16" bestFit="1" customWidth="1" collapsed="1"/>
    <col min="130" max="130" width="1.7109375" customWidth="1"/>
    <col min="131" max="131" width="13.7109375" hidden="1" customWidth="1" outlineLevel="1"/>
    <col min="132" max="142" width="14.5703125" hidden="1" customWidth="1" outlineLevel="1"/>
    <col min="143" max="143" width="16" bestFit="1" customWidth="1" collapsed="1"/>
    <col min="144" max="144" width="1.7109375" customWidth="1"/>
  </cols>
  <sheetData>
    <row r="1" spans="3:143" s="1" customFormat="1"/>
    <row r="2" spans="3:143" s="1" customFormat="1" ht="29.25">
      <c r="C2" s="2" t="s">
        <v>1</v>
      </c>
    </row>
    <row r="3" spans="3:143" s="1" customFormat="1"/>
    <row r="5" spans="3:143" ht="22.5" customHeight="1">
      <c r="C5" s="12" t="s">
        <v>9</v>
      </c>
      <c r="E5" s="116">
        <f>starting_year</f>
        <v>2022</v>
      </c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S5" s="116">
        <f>E5+1</f>
        <v>2023</v>
      </c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G5" s="116">
        <f t="shared" ref="AG5" si="0">S5+1</f>
        <v>2024</v>
      </c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U5" s="116">
        <f t="shared" ref="AU5" si="1">AG5+1</f>
        <v>2025</v>
      </c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I5" s="116">
        <f t="shared" ref="BI5" si="2">AU5+1</f>
        <v>2026</v>
      </c>
      <c r="BJ5" s="11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W5" s="116">
        <f t="shared" ref="BW5" si="3">BI5+1</f>
        <v>2027</v>
      </c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K5" s="116">
        <f t="shared" ref="CK5" si="4">BW5+1</f>
        <v>2028</v>
      </c>
      <c r="CL5" s="116"/>
      <c r="CM5" s="116"/>
      <c r="CN5" s="116"/>
      <c r="CO5" s="116"/>
      <c r="CP5" s="116"/>
      <c r="CQ5" s="116"/>
      <c r="CR5" s="116"/>
      <c r="CS5" s="116"/>
      <c r="CT5" s="116"/>
      <c r="CU5" s="116"/>
      <c r="CV5" s="116"/>
      <c r="CW5" s="116"/>
      <c r="CY5" s="116">
        <f t="shared" ref="CY5" si="5">CK5+1</f>
        <v>2029</v>
      </c>
      <c r="CZ5" s="116"/>
      <c r="DA5" s="116"/>
      <c r="DB5" s="116"/>
      <c r="DC5" s="116"/>
      <c r="DD5" s="116"/>
      <c r="DE5" s="116"/>
      <c r="DF5" s="116"/>
      <c r="DG5" s="116"/>
      <c r="DH5" s="116"/>
      <c r="DI5" s="116"/>
      <c r="DJ5" s="116"/>
      <c r="DK5" s="116"/>
      <c r="DM5" s="116">
        <f t="shared" ref="DM5" si="6">CY5+1</f>
        <v>2030</v>
      </c>
      <c r="DN5" s="116"/>
      <c r="DO5" s="116"/>
      <c r="DP5" s="116"/>
      <c r="DQ5" s="116"/>
      <c r="DR5" s="116"/>
      <c r="DS5" s="116"/>
      <c r="DT5" s="116"/>
      <c r="DU5" s="116"/>
      <c r="DV5" s="116"/>
      <c r="DW5" s="116"/>
      <c r="DX5" s="116"/>
      <c r="DY5" s="116"/>
      <c r="EA5" s="116">
        <f t="shared" ref="EA5" si="7">DM5+1</f>
        <v>2031</v>
      </c>
      <c r="EB5" s="116"/>
      <c r="EC5" s="116"/>
      <c r="ED5" s="116"/>
      <c r="EE5" s="116"/>
      <c r="EF5" s="116"/>
      <c r="EG5" s="116"/>
      <c r="EH5" s="116"/>
      <c r="EI5" s="116"/>
      <c r="EJ5" s="116"/>
      <c r="EK5" s="116"/>
      <c r="EL5" s="116"/>
      <c r="EM5" s="116"/>
    </row>
    <row r="6" spans="3:143">
      <c r="E6" s="27" t="str">
        <f ca="1">IF(E7=0, "Jan ✓", "Jan")</f>
        <v>Jan ✓</v>
      </c>
      <c r="F6" s="27" t="str">
        <f ca="1">IF(F7=0, "Fev ✓", "Fev")</f>
        <v>Fev ✓</v>
      </c>
      <c r="G6" s="27" t="str">
        <f ca="1">IF(G7=0, "Mar ✓", "Mar")</f>
        <v>Mar ✓</v>
      </c>
      <c r="H6" s="27" t="str">
        <f ca="1">IF(H7=0, "Abr ✓", "Abr")</f>
        <v>Abr ✓</v>
      </c>
      <c r="I6" s="27" t="str">
        <f ca="1">IF(I7=0, "Mai ✓", "Mai")</f>
        <v>Mai ✓</v>
      </c>
      <c r="J6" s="27" t="str">
        <f ca="1">IF(J7=0, "Jun ✓", "Jun")</f>
        <v>Jun ✓</v>
      </c>
      <c r="K6" s="27" t="str">
        <f ca="1">IF(K7=0, "Jul ✓", "Jul")</f>
        <v>Jul ✓</v>
      </c>
      <c r="L6" s="27" t="str">
        <f ca="1">IF(L7=0, "Ago ✓", "Ago")</f>
        <v>Ago ✓</v>
      </c>
      <c r="M6" s="27" t="str">
        <f ca="1">IF(M7=0, "Set ✓", "Set")</f>
        <v>Set ✓</v>
      </c>
      <c r="N6" s="27" t="str">
        <f ca="1">IF(N7=0, "Out ✓", "Out")</f>
        <v>Out ✓</v>
      </c>
      <c r="O6" s="27" t="str">
        <f ca="1">IF(O7=0, "Nov ✓", "Nov")</f>
        <v>Nov ✓</v>
      </c>
      <c r="P6" s="27" t="str">
        <f ca="1">IF(P7=0, "Dez ✓", "Dez")</f>
        <v>Dez ✓</v>
      </c>
      <c r="Q6" s="27" t="str">
        <f ca="1">IF(Q7=0, "Total ✓", "Total")</f>
        <v>Total ✓</v>
      </c>
      <c r="S6" s="27" t="str">
        <f ca="1">IF(S7=0, "Jan ✓", "Jan")</f>
        <v>Jan ✓</v>
      </c>
      <c r="T6" s="27" t="str">
        <f ca="1">IF(T7=0, "Fev ✓", "Fev")</f>
        <v>Fev ✓</v>
      </c>
      <c r="U6" s="27" t="str">
        <f ca="1">IF(U7=0, "Mar ✓", "Mar")</f>
        <v>Mar ✓</v>
      </c>
      <c r="V6" s="27" t="str">
        <f ca="1">IF(V7=0, "Abr ✓", "Abr")</f>
        <v>Abr ✓</v>
      </c>
      <c r="W6" s="27" t="str">
        <f ca="1">IF(W7=0, "Mai ✓", "Mai")</f>
        <v>Mai ✓</v>
      </c>
      <c r="X6" s="27" t="str">
        <f ca="1">IF(X7=0, "Jun ✓", "Jun")</f>
        <v>Jun ✓</v>
      </c>
      <c r="Y6" s="27" t="str">
        <f ca="1">IF(Y7=0, "Jul ✓", "Jul")</f>
        <v>Jul ✓</v>
      </c>
      <c r="Z6" s="27" t="str">
        <f ca="1">IF(Z7=0, "Ago ✓", "Ago")</f>
        <v>Ago ✓</v>
      </c>
      <c r="AA6" s="27" t="str">
        <f ca="1">IF(AA7=0, "Set ✓", "Set")</f>
        <v>Set ✓</v>
      </c>
      <c r="AB6" s="27" t="str">
        <f ca="1">IF(AB7=0, "Out ✓", "Out")</f>
        <v>Out ✓</v>
      </c>
      <c r="AC6" s="27" t="str">
        <f ca="1">IF(AC7=0, "Nov ✓", "Nov")</f>
        <v>Nov ✓</v>
      </c>
      <c r="AD6" s="27" t="str">
        <f ca="1">IF(AD7=0, "Dez ✓", "Dez")</f>
        <v>Dez ✓</v>
      </c>
      <c r="AE6" s="27" t="str">
        <f ca="1">IF(AE7=0, "Total ✓", "Total")</f>
        <v>Total ✓</v>
      </c>
      <c r="AG6" s="27" t="str">
        <f t="shared" ref="AG6" ca="1" si="8">IF(AG7=0, "Jan ✓", "Jan")</f>
        <v>Jan ✓</v>
      </c>
      <c r="AH6" s="27" t="str">
        <f t="shared" ref="AH6" ca="1" si="9">IF(AH7=0, "Fev ✓", "Fev")</f>
        <v>Fev ✓</v>
      </c>
      <c r="AI6" s="27" t="str">
        <f t="shared" ref="AI6" ca="1" si="10">IF(AI7=0, "Mar ✓", "Mar")</f>
        <v>Mar ✓</v>
      </c>
      <c r="AJ6" s="27" t="str">
        <f t="shared" ref="AJ6" ca="1" si="11">IF(AJ7=0, "Abr ✓", "Abr")</f>
        <v>Abr ✓</v>
      </c>
      <c r="AK6" s="27" t="str">
        <f t="shared" ref="AK6" ca="1" si="12">IF(AK7=0, "Mai ✓", "Mai")</f>
        <v>Mai ✓</v>
      </c>
      <c r="AL6" s="27" t="str">
        <f t="shared" ref="AL6" ca="1" si="13">IF(AL7=0, "Jun ✓", "Jun")</f>
        <v>Jun ✓</v>
      </c>
      <c r="AM6" s="27" t="str">
        <f t="shared" ref="AM6" ca="1" si="14">IF(AM7=0, "Jul ✓", "Jul")</f>
        <v>Jul ✓</v>
      </c>
      <c r="AN6" s="27" t="str">
        <f t="shared" ref="AN6" ca="1" si="15">IF(AN7=0, "Ago ✓", "Ago")</f>
        <v>Ago ✓</v>
      </c>
      <c r="AO6" s="27" t="str">
        <f t="shared" ref="AO6" ca="1" si="16">IF(AO7=0, "Set ✓", "Set")</f>
        <v>Set ✓</v>
      </c>
      <c r="AP6" s="27" t="str">
        <f t="shared" ref="AP6" ca="1" si="17">IF(AP7=0, "Out ✓", "Out")</f>
        <v>Out ✓</v>
      </c>
      <c r="AQ6" s="27" t="str">
        <f t="shared" ref="AQ6" ca="1" si="18">IF(AQ7=0, "Nov ✓", "Nov")</f>
        <v>Nov ✓</v>
      </c>
      <c r="AR6" s="27" t="str">
        <f t="shared" ref="AR6" ca="1" si="19">IF(AR7=0, "Dez ✓", "Dez")</f>
        <v>Dez ✓</v>
      </c>
      <c r="AS6" s="27" t="str">
        <f t="shared" ref="AS6" ca="1" si="20">IF(AS7=0, "Total ✓", "Total")</f>
        <v>Total ✓</v>
      </c>
      <c r="AU6" s="27" t="str">
        <f t="shared" ref="AU6" ca="1" si="21">IF(AU7=0, "Jan ✓", "Jan")</f>
        <v>Jan ✓</v>
      </c>
      <c r="AV6" s="27" t="str">
        <f t="shared" ref="AV6" ca="1" si="22">IF(AV7=0, "Fev ✓", "Fev")</f>
        <v>Fev ✓</v>
      </c>
      <c r="AW6" s="27" t="str">
        <f t="shared" ref="AW6" ca="1" si="23">IF(AW7=0, "Mar ✓", "Mar")</f>
        <v>Mar ✓</v>
      </c>
      <c r="AX6" s="27" t="str">
        <f t="shared" ref="AX6" ca="1" si="24">IF(AX7=0, "Abr ✓", "Abr")</f>
        <v>Abr ✓</v>
      </c>
      <c r="AY6" s="27" t="str">
        <f t="shared" ref="AY6" ca="1" si="25">IF(AY7=0, "Mai ✓", "Mai")</f>
        <v>Mai ✓</v>
      </c>
      <c r="AZ6" s="27" t="str">
        <f t="shared" ref="AZ6" ca="1" si="26">IF(AZ7=0, "Jun ✓", "Jun")</f>
        <v>Jun ✓</v>
      </c>
      <c r="BA6" s="27" t="str">
        <f t="shared" ref="BA6" ca="1" si="27">IF(BA7=0, "Jul ✓", "Jul")</f>
        <v>Jul ✓</v>
      </c>
      <c r="BB6" s="27" t="str">
        <f t="shared" ref="BB6" ca="1" si="28">IF(BB7=0, "Ago ✓", "Ago")</f>
        <v>Ago ✓</v>
      </c>
      <c r="BC6" s="27" t="str">
        <f t="shared" ref="BC6" ca="1" si="29">IF(BC7=0, "Set ✓", "Set")</f>
        <v>Set ✓</v>
      </c>
      <c r="BD6" s="27" t="str">
        <f t="shared" ref="BD6" ca="1" si="30">IF(BD7=0, "Out ✓", "Out")</f>
        <v>Out ✓</v>
      </c>
      <c r="BE6" s="27" t="str">
        <f t="shared" ref="BE6" ca="1" si="31">IF(BE7=0, "Nov ✓", "Nov")</f>
        <v>Nov ✓</v>
      </c>
      <c r="BF6" s="27" t="str">
        <f t="shared" ref="BF6" ca="1" si="32">IF(BF7=0, "Dez ✓", "Dez")</f>
        <v>Dez ✓</v>
      </c>
      <c r="BG6" s="27" t="str">
        <f t="shared" ref="BG6" ca="1" si="33">IF(BG7=0, "Total ✓", "Total")</f>
        <v>Total ✓</v>
      </c>
      <c r="BI6" s="27" t="str">
        <f t="shared" ref="BI6" ca="1" si="34">IF(BI7=0, "Jan ✓", "Jan")</f>
        <v>Jan ✓</v>
      </c>
      <c r="BJ6" s="27" t="str">
        <f t="shared" ref="BJ6" ca="1" si="35">IF(BJ7=0, "Fev ✓", "Fev")</f>
        <v>Fev ✓</v>
      </c>
      <c r="BK6" s="27" t="str">
        <f t="shared" ref="BK6" ca="1" si="36">IF(BK7=0, "Mar ✓", "Mar")</f>
        <v>Mar ✓</v>
      </c>
      <c r="BL6" s="27" t="str">
        <f t="shared" ref="BL6" ca="1" si="37">IF(BL7=0, "Abr ✓", "Abr")</f>
        <v>Abr ✓</v>
      </c>
      <c r="BM6" s="27" t="str">
        <f t="shared" ref="BM6" ca="1" si="38">IF(BM7=0, "Mai ✓", "Mai")</f>
        <v>Mai ✓</v>
      </c>
      <c r="BN6" s="27" t="str">
        <f t="shared" ref="BN6" ca="1" si="39">IF(BN7=0, "Jun ✓", "Jun")</f>
        <v>Jun ✓</v>
      </c>
      <c r="BO6" s="27" t="str">
        <f t="shared" ref="BO6" ca="1" si="40">IF(BO7=0, "Jul ✓", "Jul")</f>
        <v>Jul ✓</v>
      </c>
      <c r="BP6" s="27" t="str">
        <f t="shared" ref="BP6" ca="1" si="41">IF(BP7=0, "Ago ✓", "Ago")</f>
        <v>Ago ✓</v>
      </c>
      <c r="BQ6" s="27" t="str">
        <f t="shared" ref="BQ6" ca="1" si="42">IF(BQ7=0, "Set ✓", "Set")</f>
        <v>Set ✓</v>
      </c>
      <c r="BR6" s="27" t="str">
        <f t="shared" ref="BR6" ca="1" si="43">IF(BR7=0, "Out ✓", "Out")</f>
        <v>Out ✓</v>
      </c>
      <c r="BS6" s="27" t="str">
        <f t="shared" ref="BS6" ca="1" si="44">IF(BS7=0, "Nov ✓", "Nov")</f>
        <v>Nov ✓</v>
      </c>
      <c r="BT6" s="27" t="str">
        <f t="shared" ref="BT6" ca="1" si="45">IF(BT7=0, "Dez ✓", "Dez")</f>
        <v>Dez ✓</v>
      </c>
      <c r="BU6" s="27" t="str">
        <f t="shared" ref="BU6" ca="1" si="46">IF(BU7=0, "Total ✓", "Total")</f>
        <v>Total ✓</v>
      </c>
      <c r="BW6" s="27" t="str">
        <f t="shared" ref="BW6" ca="1" si="47">IF(BW7=0, "Jan ✓", "Jan")</f>
        <v>Jan ✓</v>
      </c>
      <c r="BX6" s="27" t="str">
        <f t="shared" ref="BX6" ca="1" si="48">IF(BX7=0, "Fev ✓", "Fev")</f>
        <v>Fev ✓</v>
      </c>
      <c r="BY6" s="27" t="str">
        <f t="shared" ref="BY6" ca="1" si="49">IF(BY7=0, "Mar ✓", "Mar")</f>
        <v>Mar ✓</v>
      </c>
      <c r="BZ6" s="27" t="str">
        <f t="shared" ref="BZ6" ca="1" si="50">IF(BZ7=0, "Abr ✓", "Abr")</f>
        <v>Abr ✓</v>
      </c>
      <c r="CA6" s="27" t="str">
        <f t="shared" ref="CA6" ca="1" si="51">IF(CA7=0, "Mai ✓", "Mai")</f>
        <v>Mai ✓</v>
      </c>
      <c r="CB6" s="27" t="str">
        <f t="shared" ref="CB6" ca="1" si="52">IF(CB7=0, "Jun ✓", "Jun")</f>
        <v>Jun ✓</v>
      </c>
      <c r="CC6" s="27" t="str">
        <f t="shared" ref="CC6" ca="1" si="53">IF(CC7=0, "Jul ✓", "Jul")</f>
        <v>Jul ✓</v>
      </c>
      <c r="CD6" s="27" t="str">
        <f t="shared" ref="CD6" ca="1" si="54">IF(CD7=0, "Ago ✓", "Ago")</f>
        <v>Ago ✓</v>
      </c>
      <c r="CE6" s="27" t="str">
        <f t="shared" ref="CE6" ca="1" si="55">IF(CE7=0, "Set ✓", "Set")</f>
        <v>Set ✓</v>
      </c>
      <c r="CF6" s="27" t="str">
        <f t="shared" ref="CF6" ca="1" si="56">IF(CF7=0, "Out ✓", "Out")</f>
        <v>Out ✓</v>
      </c>
      <c r="CG6" s="27" t="str">
        <f t="shared" ref="CG6" ca="1" si="57">IF(CG7=0, "Nov ✓", "Nov")</f>
        <v>Nov ✓</v>
      </c>
      <c r="CH6" s="27" t="str">
        <f t="shared" ref="CH6" ca="1" si="58">IF(CH7=0, "Dez ✓", "Dez")</f>
        <v>Dez ✓</v>
      </c>
      <c r="CI6" s="27" t="str">
        <f t="shared" ref="CI6" ca="1" si="59">IF(CI7=0, "Total ✓", "Total")</f>
        <v>Total ✓</v>
      </c>
      <c r="CK6" s="27" t="str">
        <f t="shared" ref="CK6" ca="1" si="60">IF(CK7=0, "Jan ✓", "Jan")</f>
        <v>Jan ✓</v>
      </c>
      <c r="CL6" s="27" t="str">
        <f t="shared" ref="CL6" ca="1" si="61">IF(CL7=0, "Fev ✓", "Fev")</f>
        <v>Fev ✓</v>
      </c>
      <c r="CM6" s="27" t="str">
        <f t="shared" ref="CM6" ca="1" si="62">IF(CM7=0, "Mar ✓", "Mar")</f>
        <v>Mar ✓</v>
      </c>
      <c r="CN6" s="27" t="str">
        <f t="shared" ref="CN6" ca="1" si="63">IF(CN7=0, "Abr ✓", "Abr")</f>
        <v>Abr ✓</v>
      </c>
      <c r="CO6" s="27" t="str">
        <f t="shared" ref="CO6" ca="1" si="64">IF(CO7=0, "Mai ✓", "Mai")</f>
        <v>Mai ✓</v>
      </c>
      <c r="CP6" s="27" t="str">
        <f t="shared" ref="CP6" ca="1" si="65">IF(CP7=0, "Jun ✓", "Jun")</f>
        <v>Jun ✓</v>
      </c>
      <c r="CQ6" s="27" t="str">
        <f t="shared" ref="CQ6" ca="1" si="66">IF(CQ7=0, "Jul ✓", "Jul")</f>
        <v>Jul ✓</v>
      </c>
      <c r="CR6" s="27" t="str">
        <f t="shared" ref="CR6" ca="1" si="67">IF(CR7=0, "Ago ✓", "Ago")</f>
        <v>Ago ✓</v>
      </c>
      <c r="CS6" s="27" t="str">
        <f t="shared" ref="CS6" ca="1" si="68">IF(CS7=0, "Set ✓", "Set")</f>
        <v>Set ✓</v>
      </c>
      <c r="CT6" s="27" t="str">
        <f t="shared" ref="CT6" ca="1" si="69">IF(CT7=0, "Out ✓", "Out")</f>
        <v>Out ✓</v>
      </c>
      <c r="CU6" s="27" t="str">
        <f t="shared" ref="CU6" ca="1" si="70">IF(CU7=0, "Nov ✓", "Nov")</f>
        <v>Nov ✓</v>
      </c>
      <c r="CV6" s="27" t="str">
        <f t="shared" ref="CV6" ca="1" si="71">IF(CV7=0, "Dez ✓", "Dez")</f>
        <v>Dez ✓</v>
      </c>
      <c r="CW6" s="27" t="str">
        <f t="shared" ref="CW6" ca="1" si="72">IF(CW7=0, "Total ✓", "Total")</f>
        <v>Total ✓</v>
      </c>
      <c r="CY6" s="27" t="str">
        <f t="shared" ref="CY6" ca="1" si="73">IF(CY7=0, "Jan ✓", "Jan")</f>
        <v>Jan ✓</v>
      </c>
      <c r="CZ6" s="27" t="str">
        <f t="shared" ref="CZ6" ca="1" si="74">IF(CZ7=0, "Fev ✓", "Fev")</f>
        <v>Fev ✓</v>
      </c>
      <c r="DA6" s="27" t="str">
        <f t="shared" ref="DA6" ca="1" si="75">IF(DA7=0, "Mar ✓", "Mar")</f>
        <v>Mar ✓</v>
      </c>
      <c r="DB6" s="27" t="str">
        <f t="shared" ref="DB6" ca="1" si="76">IF(DB7=0, "Abr ✓", "Abr")</f>
        <v>Abr ✓</v>
      </c>
      <c r="DC6" s="27" t="str">
        <f t="shared" ref="DC6" ca="1" si="77">IF(DC7=0, "Mai ✓", "Mai")</f>
        <v>Mai ✓</v>
      </c>
      <c r="DD6" s="27" t="str">
        <f t="shared" ref="DD6" ca="1" si="78">IF(DD7=0, "Jun ✓", "Jun")</f>
        <v>Jun ✓</v>
      </c>
      <c r="DE6" s="27" t="str">
        <f t="shared" ref="DE6" ca="1" si="79">IF(DE7=0, "Jul ✓", "Jul")</f>
        <v>Jul ✓</v>
      </c>
      <c r="DF6" s="27" t="str">
        <f t="shared" ref="DF6" ca="1" si="80">IF(DF7=0, "Ago ✓", "Ago")</f>
        <v>Ago ✓</v>
      </c>
      <c r="DG6" s="27" t="str">
        <f t="shared" ref="DG6" ca="1" si="81">IF(DG7=0, "Set ✓", "Set")</f>
        <v>Set ✓</v>
      </c>
      <c r="DH6" s="27" t="str">
        <f t="shared" ref="DH6" ca="1" si="82">IF(DH7=0, "Out ✓", "Out")</f>
        <v>Out ✓</v>
      </c>
      <c r="DI6" s="27" t="str">
        <f t="shared" ref="DI6" ca="1" si="83">IF(DI7=0, "Nov ✓", "Nov")</f>
        <v>Nov ✓</v>
      </c>
      <c r="DJ6" s="27" t="str">
        <f t="shared" ref="DJ6" ca="1" si="84">IF(DJ7=0, "Dez ✓", "Dez")</f>
        <v>Dez ✓</v>
      </c>
      <c r="DK6" s="27" t="str">
        <f t="shared" ref="DK6" ca="1" si="85">IF(DK7=0, "Total ✓", "Total")</f>
        <v>Total ✓</v>
      </c>
      <c r="DM6" s="27" t="str">
        <f t="shared" ref="DM6" ca="1" si="86">IF(DM7=0, "Jan ✓", "Jan")</f>
        <v>Jan ✓</v>
      </c>
      <c r="DN6" s="27" t="str">
        <f t="shared" ref="DN6" ca="1" si="87">IF(DN7=0, "Fev ✓", "Fev")</f>
        <v>Fev ✓</v>
      </c>
      <c r="DO6" s="27" t="str">
        <f t="shared" ref="DO6" ca="1" si="88">IF(DO7=0, "Mar ✓", "Mar")</f>
        <v>Mar ✓</v>
      </c>
      <c r="DP6" s="27" t="str">
        <f t="shared" ref="DP6" ca="1" si="89">IF(DP7=0, "Abr ✓", "Abr")</f>
        <v>Abr ✓</v>
      </c>
      <c r="DQ6" s="27" t="str">
        <f t="shared" ref="DQ6" ca="1" si="90">IF(DQ7=0, "Mai ✓", "Mai")</f>
        <v>Mai ✓</v>
      </c>
      <c r="DR6" s="27" t="str">
        <f t="shared" ref="DR6" ca="1" si="91">IF(DR7=0, "Jun ✓", "Jun")</f>
        <v>Jun ✓</v>
      </c>
      <c r="DS6" s="27" t="str">
        <f t="shared" ref="DS6" ca="1" si="92">IF(DS7=0, "Jul ✓", "Jul")</f>
        <v>Jul ✓</v>
      </c>
      <c r="DT6" s="27" t="str">
        <f t="shared" ref="DT6" ca="1" si="93">IF(DT7=0, "Ago ✓", "Ago")</f>
        <v>Ago ✓</v>
      </c>
      <c r="DU6" s="27" t="str">
        <f t="shared" ref="DU6" ca="1" si="94">IF(DU7=0, "Set ✓", "Set")</f>
        <v>Set ✓</v>
      </c>
      <c r="DV6" s="27" t="str">
        <f t="shared" ref="DV6" ca="1" si="95">IF(DV7=0, "Out ✓", "Out")</f>
        <v>Out ✓</v>
      </c>
      <c r="DW6" s="27" t="str">
        <f t="shared" ref="DW6" ca="1" si="96">IF(DW7=0, "Nov ✓", "Nov")</f>
        <v>Nov ✓</v>
      </c>
      <c r="DX6" s="27" t="str">
        <f t="shared" ref="DX6" ca="1" si="97">IF(DX7=0, "Dez ✓", "Dez")</f>
        <v>Dez ✓</v>
      </c>
      <c r="DY6" s="27" t="str">
        <f t="shared" ref="DY6" ca="1" si="98">IF(DY7=0, "Total ✓", "Total")</f>
        <v>Total ✓</v>
      </c>
      <c r="EA6" s="27" t="str">
        <f t="shared" ref="EA6" ca="1" si="99">IF(EA7=0, "Jan ✓", "Jan")</f>
        <v>Jan ✓</v>
      </c>
      <c r="EB6" s="27" t="str">
        <f t="shared" ref="EB6" ca="1" si="100">IF(EB7=0, "Fev ✓", "Fev")</f>
        <v>Fev ✓</v>
      </c>
      <c r="EC6" s="27" t="str">
        <f t="shared" ref="EC6" ca="1" si="101">IF(EC7=0, "Mar ✓", "Mar")</f>
        <v>Mar ✓</v>
      </c>
      <c r="ED6" s="27" t="str">
        <f t="shared" ref="ED6" ca="1" si="102">IF(ED7=0, "Abr ✓", "Abr")</f>
        <v>Abr ✓</v>
      </c>
      <c r="EE6" s="27" t="str">
        <f t="shared" ref="EE6" ca="1" si="103">IF(EE7=0, "Mai ✓", "Mai")</f>
        <v>Mai ✓</v>
      </c>
      <c r="EF6" s="27" t="str">
        <f t="shared" ref="EF6" ca="1" si="104">IF(EF7=0, "Jun ✓", "Jun")</f>
        <v>Jun ✓</v>
      </c>
      <c r="EG6" s="27" t="str">
        <f t="shared" ref="EG6" ca="1" si="105">IF(EG7=0, "Jul ✓", "Jul")</f>
        <v>Jul ✓</v>
      </c>
      <c r="EH6" s="27" t="str">
        <f t="shared" ref="EH6" ca="1" si="106">IF(EH7=0, "Ago ✓", "Ago")</f>
        <v>Ago ✓</v>
      </c>
      <c r="EI6" s="27" t="str">
        <f t="shared" ref="EI6" ca="1" si="107">IF(EI7=0, "Set ✓", "Set")</f>
        <v>Set ✓</v>
      </c>
      <c r="EJ6" s="27" t="str">
        <f t="shared" ref="EJ6" ca="1" si="108">IF(EJ7=0, "Out ✓", "Out")</f>
        <v>Out ✓</v>
      </c>
      <c r="EK6" s="27" t="str">
        <f t="shared" ref="EK6" ca="1" si="109">IF(EK7=0, "Nov ✓", "Nov")</f>
        <v>Nov ✓</v>
      </c>
      <c r="EL6" s="27" t="str">
        <f t="shared" ref="EL6" ca="1" si="110">IF(EL7=0, "Dez ✓", "Dez")</f>
        <v>Dez ✓</v>
      </c>
      <c r="EM6" s="27" t="str">
        <f t="shared" ref="EM6" ca="1" si="111">IF(EM7=0, "Total ✓", "Total")</f>
        <v>Total ✓</v>
      </c>
    </row>
    <row r="7" spans="3:143">
      <c r="C7" s="26" t="s">
        <v>24</v>
      </c>
      <c r="E7" s="17">
        <f ca="1">E20-(E36+E49)</f>
        <v>0</v>
      </c>
      <c r="F7" s="17">
        <f t="shared" ref="F7:Q7" ca="1" si="112">F20-(F36+F49)</f>
        <v>0</v>
      </c>
      <c r="G7" s="17">
        <f t="shared" ca="1" si="112"/>
        <v>0</v>
      </c>
      <c r="H7" s="17">
        <f t="shared" ca="1" si="112"/>
        <v>0</v>
      </c>
      <c r="I7" s="17">
        <f t="shared" ca="1" si="112"/>
        <v>0</v>
      </c>
      <c r="J7" s="17">
        <f t="shared" ca="1" si="112"/>
        <v>0</v>
      </c>
      <c r="K7" s="17">
        <f t="shared" ca="1" si="112"/>
        <v>0</v>
      </c>
      <c r="L7" s="17">
        <f t="shared" ca="1" si="112"/>
        <v>0</v>
      </c>
      <c r="M7" s="17">
        <f t="shared" ca="1" si="112"/>
        <v>0</v>
      </c>
      <c r="N7" s="17">
        <f t="shared" ca="1" si="112"/>
        <v>0</v>
      </c>
      <c r="O7" s="17">
        <f t="shared" ca="1" si="112"/>
        <v>0</v>
      </c>
      <c r="P7" s="17">
        <f t="shared" ca="1" si="112"/>
        <v>0</v>
      </c>
      <c r="Q7" s="20">
        <f t="shared" ca="1" si="112"/>
        <v>0</v>
      </c>
      <c r="S7" s="17">
        <f ca="1">S20-(S36+S49)</f>
        <v>0</v>
      </c>
      <c r="T7" s="17">
        <f t="shared" ref="T7:AE7" ca="1" si="113">T20-(T36+T49)</f>
        <v>0</v>
      </c>
      <c r="U7" s="17">
        <f t="shared" ca="1" si="113"/>
        <v>0</v>
      </c>
      <c r="V7" s="17">
        <f t="shared" ca="1" si="113"/>
        <v>0</v>
      </c>
      <c r="W7" s="17">
        <f t="shared" ca="1" si="113"/>
        <v>0</v>
      </c>
      <c r="X7" s="17">
        <f t="shared" ca="1" si="113"/>
        <v>0</v>
      </c>
      <c r="Y7" s="17">
        <f t="shared" ca="1" si="113"/>
        <v>0</v>
      </c>
      <c r="Z7" s="17">
        <f t="shared" ca="1" si="113"/>
        <v>0</v>
      </c>
      <c r="AA7" s="17">
        <f t="shared" ca="1" si="113"/>
        <v>0</v>
      </c>
      <c r="AB7" s="17">
        <f t="shared" ca="1" si="113"/>
        <v>0</v>
      </c>
      <c r="AC7" s="17">
        <f t="shared" ca="1" si="113"/>
        <v>0</v>
      </c>
      <c r="AD7" s="17">
        <f t="shared" ca="1" si="113"/>
        <v>0</v>
      </c>
      <c r="AE7" s="20">
        <f t="shared" ca="1" si="113"/>
        <v>0</v>
      </c>
      <c r="AG7" s="17">
        <f t="shared" ref="AG7:AS7" ca="1" si="114">AG20-(AG36+AG49)</f>
        <v>0</v>
      </c>
      <c r="AH7" s="17">
        <f t="shared" ca="1" si="114"/>
        <v>0</v>
      </c>
      <c r="AI7" s="17">
        <f t="shared" ca="1" si="114"/>
        <v>0</v>
      </c>
      <c r="AJ7" s="17">
        <f t="shared" ca="1" si="114"/>
        <v>0</v>
      </c>
      <c r="AK7" s="17">
        <f t="shared" ca="1" si="114"/>
        <v>0</v>
      </c>
      <c r="AL7" s="17">
        <f t="shared" ca="1" si="114"/>
        <v>0</v>
      </c>
      <c r="AM7" s="17">
        <f t="shared" ca="1" si="114"/>
        <v>0</v>
      </c>
      <c r="AN7" s="17">
        <f t="shared" ca="1" si="114"/>
        <v>0</v>
      </c>
      <c r="AO7" s="17">
        <f t="shared" ca="1" si="114"/>
        <v>0</v>
      </c>
      <c r="AP7" s="17">
        <f t="shared" ca="1" si="114"/>
        <v>0</v>
      </c>
      <c r="AQ7" s="17">
        <f t="shared" ca="1" si="114"/>
        <v>0</v>
      </c>
      <c r="AR7" s="17">
        <f t="shared" ca="1" si="114"/>
        <v>0</v>
      </c>
      <c r="AS7" s="20">
        <f t="shared" ca="1" si="114"/>
        <v>0</v>
      </c>
      <c r="AU7" s="17">
        <f t="shared" ref="AU7:BG7" ca="1" si="115">AU20-(AU36+AU49)</f>
        <v>0</v>
      </c>
      <c r="AV7" s="17">
        <f t="shared" ca="1" si="115"/>
        <v>0</v>
      </c>
      <c r="AW7" s="17">
        <f t="shared" ca="1" si="115"/>
        <v>0</v>
      </c>
      <c r="AX7" s="17">
        <f t="shared" ca="1" si="115"/>
        <v>0</v>
      </c>
      <c r="AY7" s="17">
        <f t="shared" ca="1" si="115"/>
        <v>0</v>
      </c>
      <c r="AZ7" s="17">
        <f t="shared" ca="1" si="115"/>
        <v>0</v>
      </c>
      <c r="BA7" s="17">
        <f t="shared" ca="1" si="115"/>
        <v>0</v>
      </c>
      <c r="BB7" s="17">
        <f t="shared" ca="1" si="115"/>
        <v>0</v>
      </c>
      <c r="BC7" s="17">
        <f t="shared" ca="1" si="115"/>
        <v>0</v>
      </c>
      <c r="BD7" s="17">
        <f t="shared" ca="1" si="115"/>
        <v>0</v>
      </c>
      <c r="BE7" s="17">
        <f t="shared" ca="1" si="115"/>
        <v>0</v>
      </c>
      <c r="BF7" s="17">
        <f t="shared" ca="1" si="115"/>
        <v>0</v>
      </c>
      <c r="BG7" s="20">
        <f t="shared" ca="1" si="115"/>
        <v>0</v>
      </c>
      <c r="BI7" s="17">
        <f t="shared" ref="BI7:BU7" ca="1" si="116">BI20-(BI36+BI49)</f>
        <v>0</v>
      </c>
      <c r="BJ7" s="17">
        <f t="shared" ca="1" si="116"/>
        <v>0</v>
      </c>
      <c r="BK7" s="17">
        <f t="shared" ca="1" si="116"/>
        <v>0</v>
      </c>
      <c r="BL7" s="17">
        <f t="shared" ca="1" si="116"/>
        <v>0</v>
      </c>
      <c r="BM7" s="17">
        <f t="shared" ca="1" si="116"/>
        <v>0</v>
      </c>
      <c r="BN7" s="17">
        <f t="shared" ca="1" si="116"/>
        <v>0</v>
      </c>
      <c r="BO7" s="17">
        <f t="shared" ca="1" si="116"/>
        <v>0</v>
      </c>
      <c r="BP7" s="17">
        <f t="shared" ca="1" si="116"/>
        <v>0</v>
      </c>
      <c r="BQ7" s="17">
        <f t="shared" ca="1" si="116"/>
        <v>0</v>
      </c>
      <c r="BR7" s="17">
        <f t="shared" ca="1" si="116"/>
        <v>0</v>
      </c>
      <c r="BS7" s="17">
        <f t="shared" ca="1" si="116"/>
        <v>0</v>
      </c>
      <c r="BT7" s="17">
        <f t="shared" ca="1" si="116"/>
        <v>0</v>
      </c>
      <c r="BU7" s="20">
        <f t="shared" ca="1" si="116"/>
        <v>0</v>
      </c>
      <c r="BW7" s="17">
        <f t="shared" ref="BW7:CI7" ca="1" si="117">BW20-(BW36+BW49)</f>
        <v>0</v>
      </c>
      <c r="BX7" s="17">
        <f t="shared" ca="1" si="117"/>
        <v>0</v>
      </c>
      <c r="BY7" s="17">
        <f t="shared" ca="1" si="117"/>
        <v>0</v>
      </c>
      <c r="BZ7" s="17">
        <f t="shared" ca="1" si="117"/>
        <v>0</v>
      </c>
      <c r="CA7" s="17">
        <f t="shared" ca="1" si="117"/>
        <v>0</v>
      </c>
      <c r="CB7" s="17">
        <f t="shared" ca="1" si="117"/>
        <v>0</v>
      </c>
      <c r="CC7" s="17">
        <f t="shared" ca="1" si="117"/>
        <v>0</v>
      </c>
      <c r="CD7" s="17">
        <f t="shared" ca="1" si="117"/>
        <v>0</v>
      </c>
      <c r="CE7" s="17">
        <f t="shared" ca="1" si="117"/>
        <v>0</v>
      </c>
      <c r="CF7" s="17">
        <f t="shared" ca="1" si="117"/>
        <v>0</v>
      </c>
      <c r="CG7" s="17">
        <f t="shared" ca="1" si="117"/>
        <v>0</v>
      </c>
      <c r="CH7" s="17">
        <f t="shared" ca="1" si="117"/>
        <v>0</v>
      </c>
      <c r="CI7" s="20">
        <f t="shared" ca="1" si="117"/>
        <v>0</v>
      </c>
      <c r="CK7" s="17">
        <f t="shared" ref="CK7:CW7" ca="1" si="118">CK20-(CK36+CK49)</f>
        <v>0</v>
      </c>
      <c r="CL7" s="17">
        <f t="shared" ca="1" si="118"/>
        <v>0</v>
      </c>
      <c r="CM7" s="17">
        <f t="shared" ca="1" si="118"/>
        <v>0</v>
      </c>
      <c r="CN7" s="17">
        <f t="shared" ca="1" si="118"/>
        <v>0</v>
      </c>
      <c r="CO7" s="17">
        <f t="shared" ca="1" si="118"/>
        <v>0</v>
      </c>
      <c r="CP7" s="17">
        <f t="shared" ca="1" si="118"/>
        <v>0</v>
      </c>
      <c r="CQ7" s="17">
        <f t="shared" ca="1" si="118"/>
        <v>0</v>
      </c>
      <c r="CR7" s="17">
        <f t="shared" ca="1" si="118"/>
        <v>0</v>
      </c>
      <c r="CS7" s="17">
        <f t="shared" ca="1" si="118"/>
        <v>0</v>
      </c>
      <c r="CT7" s="17">
        <f t="shared" ca="1" si="118"/>
        <v>0</v>
      </c>
      <c r="CU7" s="17">
        <f t="shared" ca="1" si="118"/>
        <v>0</v>
      </c>
      <c r="CV7" s="17">
        <f t="shared" ca="1" si="118"/>
        <v>0</v>
      </c>
      <c r="CW7" s="20">
        <f t="shared" ca="1" si="118"/>
        <v>0</v>
      </c>
      <c r="CY7" s="17">
        <f t="shared" ref="CY7:DK7" ca="1" si="119">CY20-(CY36+CY49)</f>
        <v>0</v>
      </c>
      <c r="CZ7" s="17">
        <f t="shared" ca="1" si="119"/>
        <v>0</v>
      </c>
      <c r="DA7" s="17">
        <f t="shared" ca="1" si="119"/>
        <v>0</v>
      </c>
      <c r="DB7" s="17">
        <f t="shared" ca="1" si="119"/>
        <v>0</v>
      </c>
      <c r="DC7" s="17">
        <f t="shared" ca="1" si="119"/>
        <v>0</v>
      </c>
      <c r="DD7" s="17">
        <f t="shared" ca="1" si="119"/>
        <v>0</v>
      </c>
      <c r="DE7" s="17">
        <f t="shared" ca="1" si="119"/>
        <v>0</v>
      </c>
      <c r="DF7" s="17">
        <f t="shared" ca="1" si="119"/>
        <v>0</v>
      </c>
      <c r="DG7" s="17">
        <f t="shared" ca="1" si="119"/>
        <v>0</v>
      </c>
      <c r="DH7" s="17">
        <f t="shared" ca="1" si="119"/>
        <v>0</v>
      </c>
      <c r="DI7" s="17">
        <f t="shared" ca="1" si="119"/>
        <v>0</v>
      </c>
      <c r="DJ7" s="17">
        <f t="shared" ca="1" si="119"/>
        <v>0</v>
      </c>
      <c r="DK7" s="20">
        <f t="shared" ca="1" si="119"/>
        <v>0</v>
      </c>
      <c r="DM7" s="17">
        <f t="shared" ref="DM7:DY7" ca="1" si="120">DM20-(DM36+DM49)</f>
        <v>0</v>
      </c>
      <c r="DN7" s="17">
        <f t="shared" ca="1" si="120"/>
        <v>0</v>
      </c>
      <c r="DO7" s="17">
        <f t="shared" ca="1" si="120"/>
        <v>0</v>
      </c>
      <c r="DP7" s="17">
        <f t="shared" ca="1" si="120"/>
        <v>0</v>
      </c>
      <c r="DQ7" s="17">
        <f t="shared" ca="1" si="120"/>
        <v>0</v>
      </c>
      <c r="DR7" s="17">
        <f t="shared" ca="1" si="120"/>
        <v>0</v>
      </c>
      <c r="DS7" s="17">
        <f t="shared" ca="1" si="120"/>
        <v>0</v>
      </c>
      <c r="DT7" s="17">
        <f t="shared" ca="1" si="120"/>
        <v>0</v>
      </c>
      <c r="DU7" s="17">
        <f t="shared" ca="1" si="120"/>
        <v>0</v>
      </c>
      <c r="DV7" s="17">
        <f t="shared" ca="1" si="120"/>
        <v>0</v>
      </c>
      <c r="DW7" s="17">
        <f t="shared" ca="1" si="120"/>
        <v>0</v>
      </c>
      <c r="DX7" s="17">
        <f t="shared" ca="1" si="120"/>
        <v>0</v>
      </c>
      <c r="DY7" s="20">
        <f t="shared" ca="1" si="120"/>
        <v>0</v>
      </c>
      <c r="EA7" s="17">
        <f t="shared" ref="EA7:EM7" ca="1" si="121">EA20-(EA36+EA49)</f>
        <v>0</v>
      </c>
      <c r="EB7" s="17">
        <f t="shared" ca="1" si="121"/>
        <v>0</v>
      </c>
      <c r="EC7" s="17">
        <f t="shared" ca="1" si="121"/>
        <v>0</v>
      </c>
      <c r="ED7" s="17">
        <f t="shared" ca="1" si="121"/>
        <v>0</v>
      </c>
      <c r="EE7" s="17">
        <f t="shared" ca="1" si="121"/>
        <v>0</v>
      </c>
      <c r="EF7" s="17">
        <f t="shared" ca="1" si="121"/>
        <v>0</v>
      </c>
      <c r="EG7" s="17">
        <f t="shared" ca="1" si="121"/>
        <v>0</v>
      </c>
      <c r="EH7" s="17">
        <f t="shared" ca="1" si="121"/>
        <v>0</v>
      </c>
      <c r="EI7" s="17">
        <f t="shared" ca="1" si="121"/>
        <v>0</v>
      </c>
      <c r="EJ7" s="17">
        <f t="shared" ca="1" si="121"/>
        <v>0</v>
      </c>
      <c r="EK7" s="17">
        <f t="shared" ca="1" si="121"/>
        <v>0</v>
      </c>
      <c r="EL7" s="17">
        <f t="shared" ca="1" si="121"/>
        <v>0</v>
      </c>
      <c r="EM7" s="20">
        <f t="shared" ca="1" si="121"/>
        <v>0</v>
      </c>
    </row>
    <row r="9" spans="3:143" ht="16.5">
      <c r="C9" s="13" t="s">
        <v>11</v>
      </c>
      <c r="E9" s="16">
        <f>DATE(E$5,1,1)</f>
        <v>44562</v>
      </c>
      <c r="F9" s="16">
        <f>DATE(E$5,2,1)</f>
        <v>44593</v>
      </c>
      <c r="G9" s="16">
        <f>DATE(E$5,3,1)</f>
        <v>44621</v>
      </c>
      <c r="H9" s="16">
        <f>DATE(E$5,4,1)</f>
        <v>44652</v>
      </c>
      <c r="I9" s="16">
        <f>DATE(E$5,5,1)</f>
        <v>44682</v>
      </c>
      <c r="J9" s="16">
        <f>DATE(E$5,6,1)</f>
        <v>44713</v>
      </c>
      <c r="K9" s="16">
        <f>DATE(E$5,7,1)</f>
        <v>44743</v>
      </c>
      <c r="L9" s="16">
        <f>DATE(E$5,8,1)</f>
        <v>44774</v>
      </c>
      <c r="M9" s="16">
        <f>DATE(E$5,9,1)</f>
        <v>44805</v>
      </c>
      <c r="N9" s="16">
        <f>DATE(E$5,10,1)</f>
        <v>44835</v>
      </c>
      <c r="O9" s="16">
        <f>DATE(E$5,11,1)</f>
        <v>44866</v>
      </c>
      <c r="P9" s="16">
        <f>DATE(E$5,12,1)</f>
        <v>44896</v>
      </c>
      <c r="Q9" s="15">
        <f>E$5</f>
        <v>2022</v>
      </c>
      <c r="S9" s="16">
        <f>DATE(S$5,1,1)</f>
        <v>44927</v>
      </c>
      <c r="T9" s="16">
        <f>DATE(S$5,2,1)</f>
        <v>44958</v>
      </c>
      <c r="U9" s="16">
        <f>DATE(S$5,3,1)</f>
        <v>44986</v>
      </c>
      <c r="V9" s="16">
        <f>DATE(S$5,4,1)</f>
        <v>45017</v>
      </c>
      <c r="W9" s="16">
        <f>DATE(S$5,5,1)</f>
        <v>45047</v>
      </c>
      <c r="X9" s="16">
        <f>DATE(S$5,6,1)</f>
        <v>45078</v>
      </c>
      <c r="Y9" s="16">
        <f>DATE(S$5,7,1)</f>
        <v>45108</v>
      </c>
      <c r="Z9" s="16">
        <f>DATE(S$5,8,1)</f>
        <v>45139</v>
      </c>
      <c r="AA9" s="16">
        <f>DATE(S$5,9,1)</f>
        <v>45170</v>
      </c>
      <c r="AB9" s="16">
        <f>DATE(S$5,10,1)</f>
        <v>45200</v>
      </c>
      <c r="AC9" s="16">
        <f>DATE(S$5,11,1)</f>
        <v>45231</v>
      </c>
      <c r="AD9" s="16">
        <f>DATE(S$5,12,1)</f>
        <v>45261</v>
      </c>
      <c r="AE9" s="15">
        <f>S$5</f>
        <v>2023</v>
      </c>
      <c r="AG9" s="16">
        <f t="shared" ref="AG9" si="122">DATE(AG$5,1,1)</f>
        <v>45292</v>
      </c>
      <c r="AH9" s="16">
        <f t="shared" ref="AH9" si="123">DATE(AG$5,2,1)</f>
        <v>45323</v>
      </c>
      <c r="AI9" s="16">
        <f t="shared" ref="AI9" si="124">DATE(AG$5,3,1)</f>
        <v>45352</v>
      </c>
      <c r="AJ9" s="16">
        <f t="shared" ref="AJ9" si="125">DATE(AG$5,4,1)</f>
        <v>45383</v>
      </c>
      <c r="AK9" s="16">
        <f t="shared" ref="AK9" si="126">DATE(AG$5,5,1)</f>
        <v>45413</v>
      </c>
      <c r="AL9" s="16">
        <f t="shared" ref="AL9" si="127">DATE(AG$5,6,1)</f>
        <v>45444</v>
      </c>
      <c r="AM9" s="16">
        <f t="shared" ref="AM9" si="128">DATE(AG$5,7,1)</f>
        <v>45474</v>
      </c>
      <c r="AN9" s="16">
        <f t="shared" ref="AN9" si="129">DATE(AG$5,8,1)</f>
        <v>45505</v>
      </c>
      <c r="AO9" s="16">
        <f t="shared" ref="AO9" si="130">DATE(AG$5,9,1)</f>
        <v>45536</v>
      </c>
      <c r="AP9" s="16">
        <f t="shared" ref="AP9" si="131">DATE(AG$5,10,1)</f>
        <v>45566</v>
      </c>
      <c r="AQ9" s="16">
        <f t="shared" ref="AQ9" si="132">DATE(AG$5,11,1)</f>
        <v>45597</v>
      </c>
      <c r="AR9" s="16">
        <f t="shared" ref="AR9" si="133">DATE(AG$5,12,1)</f>
        <v>45627</v>
      </c>
      <c r="AS9" s="15">
        <f t="shared" ref="AS9" si="134">AG$5</f>
        <v>2024</v>
      </c>
      <c r="AU9" s="16">
        <f t="shared" ref="AU9" si="135">DATE(AU$5,1,1)</f>
        <v>45658</v>
      </c>
      <c r="AV9" s="16">
        <f t="shared" ref="AV9" si="136">DATE(AU$5,2,1)</f>
        <v>45689</v>
      </c>
      <c r="AW9" s="16">
        <f t="shared" ref="AW9" si="137">DATE(AU$5,3,1)</f>
        <v>45717</v>
      </c>
      <c r="AX9" s="16">
        <f t="shared" ref="AX9" si="138">DATE(AU$5,4,1)</f>
        <v>45748</v>
      </c>
      <c r="AY9" s="16">
        <f t="shared" ref="AY9" si="139">DATE(AU$5,5,1)</f>
        <v>45778</v>
      </c>
      <c r="AZ9" s="16">
        <f t="shared" ref="AZ9" si="140">DATE(AU$5,6,1)</f>
        <v>45809</v>
      </c>
      <c r="BA9" s="16">
        <f t="shared" ref="BA9" si="141">DATE(AU$5,7,1)</f>
        <v>45839</v>
      </c>
      <c r="BB9" s="16">
        <f t="shared" ref="BB9" si="142">DATE(AU$5,8,1)</f>
        <v>45870</v>
      </c>
      <c r="BC9" s="16">
        <f t="shared" ref="BC9" si="143">DATE(AU$5,9,1)</f>
        <v>45901</v>
      </c>
      <c r="BD9" s="16">
        <f t="shared" ref="BD9" si="144">DATE(AU$5,10,1)</f>
        <v>45931</v>
      </c>
      <c r="BE9" s="16">
        <f t="shared" ref="BE9" si="145">DATE(AU$5,11,1)</f>
        <v>45962</v>
      </c>
      <c r="BF9" s="16">
        <f t="shared" ref="BF9" si="146">DATE(AU$5,12,1)</f>
        <v>45992</v>
      </c>
      <c r="BG9" s="15">
        <f t="shared" ref="BG9" si="147">AU$5</f>
        <v>2025</v>
      </c>
      <c r="BI9" s="16">
        <f t="shared" ref="BI9" si="148">DATE(BI$5,1,1)</f>
        <v>46023</v>
      </c>
      <c r="BJ9" s="16">
        <f t="shared" ref="BJ9" si="149">DATE(BI$5,2,1)</f>
        <v>46054</v>
      </c>
      <c r="BK9" s="16">
        <f t="shared" ref="BK9" si="150">DATE(BI$5,3,1)</f>
        <v>46082</v>
      </c>
      <c r="BL9" s="16">
        <f t="shared" ref="BL9" si="151">DATE(BI$5,4,1)</f>
        <v>46113</v>
      </c>
      <c r="BM9" s="16">
        <f t="shared" ref="BM9" si="152">DATE(BI$5,5,1)</f>
        <v>46143</v>
      </c>
      <c r="BN9" s="16">
        <f t="shared" ref="BN9" si="153">DATE(BI$5,6,1)</f>
        <v>46174</v>
      </c>
      <c r="BO9" s="16">
        <f t="shared" ref="BO9" si="154">DATE(BI$5,7,1)</f>
        <v>46204</v>
      </c>
      <c r="BP9" s="16">
        <f t="shared" ref="BP9" si="155">DATE(BI$5,8,1)</f>
        <v>46235</v>
      </c>
      <c r="BQ9" s="16">
        <f t="shared" ref="BQ9" si="156">DATE(BI$5,9,1)</f>
        <v>46266</v>
      </c>
      <c r="BR9" s="16">
        <f t="shared" ref="BR9" si="157">DATE(BI$5,10,1)</f>
        <v>46296</v>
      </c>
      <c r="BS9" s="16">
        <f t="shared" ref="BS9" si="158">DATE(BI$5,11,1)</f>
        <v>46327</v>
      </c>
      <c r="BT9" s="16">
        <f t="shared" ref="BT9" si="159">DATE(BI$5,12,1)</f>
        <v>46357</v>
      </c>
      <c r="BU9" s="15">
        <f t="shared" ref="BU9" si="160">BI$5</f>
        <v>2026</v>
      </c>
      <c r="BW9" s="16">
        <f t="shared" ref="BW9" si="161">DATE(BW$5,1,1)</f>
        <v>46388</v>
      </c>
      <c r="BX9" s="16">
        <f t="shared" ref="BX9" si="162">DATE(BW$5,2,1)</f>
        <v>46419</v>
      </c>
      <c r="BY9" s="16">
        <f t="shared" ref="BY9" si="163">DATE(BW$5,3,1)</f>
        <v>46447</v>
      </c>
      <c r="BZ9" s="16">
        <f t="shared" ref="BZ9" si="164">DATE(BW$5,4,1)</f>
        <v>46478</v>
      </c>
      <c r="CA9" s="16">
        <f t="shared" ref="CA9" si="165">DATE(BW$5,5,1)</f>
        <v>46508</v>
      </c>
      <c r="CB9" s="16">
        <f t="shared" ref="CB9" si="166">DATE(BW$5,6,1)</f>
        <v>46539</v>
      </c>
      <c r="CC9" s="16">
        <f t="shared" ref="CC9" si="167">DATE(BW$5,7,1)</f>
        <v>46569</v>
      </c>
      <c r="CD9" s="16">
        <f t="shared" ref="CD9" si="168">DATE(BW$5,8,1)</f>
        <v>46600</v>
      </c>
      <c r="CE9" s="16">
        <f t="shared" ref="CE9" si="169">DATE(BW$5,9,1)</f>
        <v>46631</v>
      </c>
      <c r="CF9" s="16">
        <f t="shared" ref="CF9" si="170">DATE(BW$5,10,1)</f>
        <v>46661</v>
      </c>
      <c r="CG9" s="16">
        <f t="shared" ref="CG9" si="171">DATE(BW$5,11,1)</f>
        <v>46692</v>
      </c>
      <c r="CH9" s="16">
        <f t="shared" ref="CH9" si="172">DATE(BW$5,12,1)</f>
        <v>46722</v>
      </c>
      <c r="CI9" s="15">
        <f t="shared" ref="CI9" si="173">BW$5</f>
        <v>2027</v>
      </c>
      <c r="CK9" s="16">
        <f t="shared" ref="CK9" si="174">DATE(CK$5,1,1)</f>
        <v>46753</v>
      </c>
      <c r="CL9" s="16">
        <f t="shared" ref="CL9" si="175">DATE(CK$5,2,1)</f>
        <v>46784</v>
      </c>
      <c r="CM9" s="16">
        <f t="shared" ref="CM9" si="176">DATE(CK$5,3,1)</f>
        <v>46813</v>
      </c>
      <c r="CN9" s="16">
        <f t="shared" ref="CN9" si="177">DATE(CK$5,4,1)</f>
        <v>46844</v>
      </c>
      <c r="CO9" s="16">
        <f t="shared" ref="CO9" si="178">DATE(CK$5,5,1)</f>
        <v>46874</v>
      </c>
      <c r="CP9" s="16">
        <f t="shared" ref="CP9" si="179">DATE(CK$5,6,1)</f>
        <v>46905</v>
      </c>
      <c r="CQ9" s="16">
        <f t="shared" ref="CQ9" si="180">DATE(CK$5,7,1)</f>
        <v>46935</v>
      </c>
      <c r="CR9" s="16">
        <f t="shared" ref="CR9" si="181">DATE(CK$5,8,1)</f>
        <v>46966</v>
      </c>
      <c r="CS9" s="16">
        <f t="shared" ref="CS9" si="182">DATE(CK$5,9,1)</f>
        <v>46997</v>
      </c>
      <c r="CT9" s="16">
        <f t="shared" ref="CT9" si="183">DATE(CK$5,10,1)</f>
        <v>47027</v>
      </c>
      <c r="CU9" s="16">
        <f t="shared" ref="CU9" si="184">DATE(CK$5,11,1)</f>
        <v>47058</v>
      </c>
      <c r="CV9" s="16">
        <f t="shared" ref="CV9" si="185">DATE(CK$5,12,1)</f>
        <v>47088</v>
      </c>
      <c r="CW9" s="15">
        <f t="shared" ref="CW9" si="186">CK$5</f>
        <v>2028</v>
      </c>
      <c r="CY9" s="16">
        <f t="shared" ref="CY9" si="187">DATE(CY$5,1,1)</f>
        <v>47119</v>
      </c>
      <c r="CZ9" s="16">
        <f t="shared" ref="CZ9" si="188">DATE(CY$5,2,1)</f>
        <v>47150</v>
      </c>
      <c r="DA9" s="16">
        <f t="shared" ref="DA9" si="189">DATE(CY$5,3,1)</f>
        <v>47178</v>
      </c>
      <c r="DB9" s="16">
        <f t="shared" ref="DB9" si="190">DATE(CY$5,4,1)</f>
        <v>47209</v>
      </c>
      <c r="DC9" s="16">
        <f t="shared" ref="DC9" si="191">DATE(CY$5,5,1)</f>
        <v>47239</v>
      </c>
      <c r="DD9" s="16">
        <f t="shared" ref="DD9" si="192">DATE(CY$5,6,1)</f>
        <v>47270</v>
      </c>
      <c r="DE9" s="16">
        <f t="shared" ref="DE9" si="193">DATE(CY$5,7,1)</f>
        <v>47300</v>
      </c>
      <c r="DF9" s="16">
        <f t="shared" ref="DF9" si="194">DATE(CY$5,8,1)</f>
        <v>47331</v>
      </c>
      <c r="DG9" s="16">
        <f t="shared" ref="DG9" si="195">DATE(CY$5,9,1)</f>
        <v>47362</v>
      </c>
      <c r="DH9" s="16">
        <f t="shared" ref="DH9" si="196">DATE(CY$5,10,1)</f>
        <v>47392</v>
      </c>
      <c r="DI9" s="16">
        <f t="shared" ref="DI9" si="197">DATE(CY$5,11,1)</f>
        <v>47423</v>
      </c>
      <c r="DJ9" s="16">
        <f t="shared" ref="DJ9" si="198">DATE(CY$5,12,1)</f>
        <v>47453</v>
      </c>
      <c r="DK9" s="15">
        <f t="shared" ref="DK9" si="199">CY$5</f>
        <v>2029</v>
      </c>
      <c r="DM9" s="16">
        <f t="shared" ref="DM9" si="200">DATE(DM$5,1,1)</f>
        <v>47484</v>
      </c>
      <c r="DN9" s="16">
        <f t="shared" ref="DN9" si="201">DATE(DM$5,2,1)</f>
        <v>47515</v>
      </c>
      <c r="DO9" s="16">
        <f t="shared" ref="DO9" si="202">DATE(DM$5,3,1)</f>
        <v>47543</v>
      </c>
      <c r="DP9" s="16">
        <f t="shared" ref="DP9" si="203">DATE(DM$5,4,1)</f>
        <v>47574</v>
      </c>
      <c r="DQ9" s="16">
        <f t="shared" ref="DQ9" si="204">DATE(DM$5,5,1)</f>
        <v>47604</v>
      </c>
      <c r="DR9" s="16">
        <f t="shared" ref="DR9" si="205">DATE(DM$5,6,1)</f>
        <v>47635</v>
      </c>
      <c r="DS9" s="16">
        <f t="shared" ref="DS9" si="206">DATE(DM$5,7,1)</f>
        <v>47665</v>
      </c>
      <c r="DT9" s="16">
        <f t="shared" ref="DT9" si="207">DATE(DM$5,8,1)</f>
        <v>47696</v>
      </c>
      <c r="DU9" s="16">
        <f t="shared" ref="DU9" si="208">DATE(DM$5,9,1)</f>
        <v>47727</v>
      </c>
      <c r="DV9" s="16">
        <f t="shared" ref="DV9" si="209">DATE(DM$5,10,1)</f>
        <v>47757</v>
      </c>
      <c r="DW9" s="16">
        <f t="shared" ref="DW9" si="210">DATE(DM$5,11,1)</f>
        <v>47788</v>
      </c>
      <c r="DX9" s="16">
        <f t="shared" ref="DX9" si="211">DATE(DM$5,12,1)</f>
        <v>47818</v>
      </c>
      <c r="DY9" s="15">
        <f t="shared" ref="DY9" si="212">DM$5</f>
        <v>2030</v>
      </c>
      <c r="EA9" s="16">
        <f t="shared" ref="EA9" si="213">DATE(EA$5,1,1)</f>
        <v>47849</v>
      </c>
      <c r="EB9" s="16">
        <f t="shared" ref="EB9" si="214">DATE(EA$5,2,1)</f>
        <v>47880</v>
      </c>
      <c r="EC9" s="16">
        <f t="shared" ref="EC9" si="215">DATE(EA$5,3,1)</f>
        <v>47908</v>
      </c>
      <c r="ED9" s="16">
        <f t="shared" ref="ED9" si="216">DATE(EA$5,4,1)</f>
        <v>47939</v>
      </c>
      <c r="EE9" s="16">
        <f t="shared" ref="EE9" si="217">DATE(EA$5,5,1)</f>
        <v>47969</v>
      </c>
      <c r="EF9" s="16">
        <f t="shared" ref="EF9" si="218">DATE(EA$5,6,1)</f>
        <v>48000</v>
      </c>
      <c r="EG9" s="16">
        <f t="shared" ref="EG9" si="219">DATE(EA$5,7,1)</f>
        <v>48030</v>
      </c>
      <c r="EH9" s="16">
        <f t="shared" ref="EH9" si="220">DATE(EA$5,8,1)</f>
        <v>48061</v>
      </c>
      <c r="EI9" s="16">
        <f t="shared" ref="EI9" si="221">DATE(EA$5,9,1)</f>
        <v>48092</v>
      </c>
      <c r="EJ9" s="16">
        <f t="shared" ref="EJ9" si="222">DATE(EA$5,10,1)</f>
        <v>48122</v>
      </c>
      <c r="EK9" s="16">
        <f t="shared" ref="EK9" si="223">DATE(EA$5,11,1)</f>
        <v>48153</v>
      </c>
      <c r="EL9" s="16">
        <f t="shared" ref="EL9" si="224">DATE(EA$5,12,1)</f>
        <v>48183</v>
      </c>
      <c r="EM9" s="15">
        <f t="shared" ref="EM9" si="225">EA$5</f>
        <v>2031</v>
      </c>
    </row>
    <row r="10" spans="3:143">
      <c r="C10" s="18" t="s">
        <v>13</v>
      </c>
      <c r="E10" s="19">
        <v>3500</v>
      </c>
      <c r="F10" s="19">
        <v>3500</v>
      </c>
      <c r="G10" s="19">
        <v>3500</v>
      </c>
      <c r="H10" s="19">
        <v>4500</v>
      </c>
      <c r="I10" s="19">
        <v>4500</v>
      </c>
      <c r="J10" s="19">
        <v>4500</v>
      </c>
      <c r="K10" s="19">
        <v>4500</v>
      </c>
      <c r="L10" s="19">
        <v>4500</v>
      </c>
      <c r="M10" s="19">
        <v>4500</v>
      </c>
      <c r="N10" s="19">
        <v>4500</v>
      </c>
      <c r="O10" s="19">
        <v>4500</v>
      </c>
      <c r="P10" s="19">
        <v>4500</v>
      </c>
      <c r="Q10" s="21">
        <f>SUM(E10:P10)</f>
        <v>51000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21">
        <f>SUM(S10:AD10)</f>
        <v>0</v>
      </c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21">
        <f t="shared" ref="AS10:AS19" si="226">SUM(AG10:AR10)</f>
        <v>0</v>
      </c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21">
        <f t="shared" ref="BG10:BG19" si="227">SUM(AU10:BF10)</f>
        <v>0</v>
      </c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21">
        <f t="shared" ref="BU10:BU19" si="228">SUM(BI10:BT10)</f>
        <v>0</v>
      </c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21">
        <f t="shared" ref="CI10:CI19" si="229">SUM(BW10:CH10)</f>
        <v>0</v>
      </c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1">
        <f t="shared" ref="CW10:CW19" si="230">SUM(CK10:CV10)</f>
        <v>0</v>
      </c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21">
        <f t="shared" ref="DK10:DK19" si="231">SUM(CY10:DJ10)</f>
        <v>0</v>
      </c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21">
        <f t="shared" ref="DY10:DY19" si="232">SUM(DM10:DX10)</f>
        <v>0</v>
      </c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21">
        <f t="shared" ref="EM10:EM19" si="233">SUM(EA10:EL10)</f>
        <v>0</v>
      </c>
    </row>
    <row r="11" spans="3:143">
      <c r="C11" s="18" t="s">
        <v>14</v>
      </c>
      <c r="E11" s="19">
        <v>1000</v>
      </c>
      <c r="F11" s="19">
        <v>1000</v>
      </c>
      <c r="G11" s="19">
        <v>1000</v>
      </c>
      <c r="H11" s="19">
        <v>1000</v>
      </c>
      <c r="I11" s="19">
        <v>1000</v>
      </c>
      <c r="J11" s="19">
        <v>1000</v>
      </c>
      <c r="K11" s="19">
        <v>1000</v>
      </c>
      <c r="L11" s="19">
        <v>1000</v>
      </c>
      <c r="M11" s="19">
        <v>1000</v>
      </c>
      <c r="N11" s="19">
        <v>1000</v>
      </c>
      <c r="O11" s="19">
        <v>1000</v>
      </c>
      <c r="P11" s="19">
        <v>1000</v>
      </c>
      <c r="Q11" s="21">
        <f t="shared" ref="Q11:Q19" si="234">SUM(E11:P11)</f>
        <v>12000</v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21">
        <f t="shared" ref="AE11:AE19" si="235">SUM(S11:AD11)</f>
        <v>0</v>
      </c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21">
        <f t="shared" si="226"/>
        <v>0</v>
      </c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21">
        <f t="shared" si="227"/>
        <v>0</v>
      </c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21">
        <f t="shared" si="228"/>
        <v>0</v>
      </c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21">
        <f t="shared" si="229"/>
        <v>0</v>
      </c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1">
        <f t="shared" si="230"/>
        <v>0</v>
      </c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21">
        <f t="shared" si="231"/>
        <v>0</v>
      </c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21">
        <f t="shared" si="232"/>
        <v>0</v>
      </c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21">
        <f t="shared" si="233"/>
        <v>0</v>
      </c>
    </row>
    <row r="12" spans="3:143">
      <c r="C12" s="18" t="s">
        <v>15</v>
      </c>
      <c r="E12" s="19">
        <v>150</v>
      </c>
      <c r="F12" s="19">
        <v>50</v>
      </c>
      <c r="G12" s="19">
        <v>100</v>
      </c>
      <c r="H12" s="19">
        <v>150</v>
      </c>
      <c r="I12" s="19">
        <v>50</v>
      </c>
      <c r="J12" s="19">
        <v>100</v>
      </c>
      <c r="K12" s="19">
        <v>150</v>
      </c>
      <c r="L12" s="19">
        <v>50</v>
      </c>
      <c r="M12" s="19">
        <v>100</v>
      </c>
      <c r="N12" s="19">
        <v>150</v>
      </c>
      <c r="O12" s="19">
        <v>50</v>
      </c>
      <c r="P12" s="19">
        <v>100</v>
      </c>
      <c r="Q12" s="21">
        <f t="shared" si="234"/>
        <v>1200</v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21">
        <f t="shared" si="235"/>
        <v>0</v>
      </c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21">
        <f t="shared" si="226"/>
        <v>0</v>
      </c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21">
        <f t="shared" si="227"/>
        <v>0</v>
      </c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21">
        <f t="shared" si="228"/>
        <v>0</v>
      </c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21">
        <f t="shared" si="229"/>
        <v>0</v>
      </c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1">
        <f t="shared" si="230"/>
        <v>0</v>
      </c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21">
        <f t="shared" si="231"/>
        <v>0</v>
      </c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21">
        <f t="shared" si="232"/>
        <v>0</v>
      </c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21">
        <f t="shared" si="233"/>
        <v>0</v>
      </c>
    </row>
    <row r="13" spans="3:143" hidden="1">
      <c r="C13" s="18" t="s">
        <v>10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1">
        <f t="shared" si="234"/>
        <v>0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21">
        <f t="shared" si="235"/>
        <v>0</v>
      </c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21">
        <f t="shared" si="226"/>
        <v>0</v>
      </c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21">
        <f t="shared" si="227"/>
        <v>0</v>
      </c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21">
        <f t="shared" si="228"/>
        <v>0</v>
      </c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21">
        <f t="shared" si="229"/>
        <v>0</v>
      </c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1">
        <f t="shared" si="230"/>
        <v>0</v>
      </c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21">
        <f t="shared" si="231"/>
        <v>0</v>
      </c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21">
        <f t="shared" si="232"/>
        <v>0</v>
      </c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21">
        <f t="shared" si="233"/>
        <v>0</v>
      </c>
    </row>
    <row r="14" spans="3:143" hidden="1">
      <c r="C14" s="18" t="s">
        <v>10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1">
        <f t="shared" si="234"/>
        <v>0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21">
        <f t="shared" si="235"/>
        <v>0</v>
      </c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21">
        <f t="shared" si="226"/>
        <v>0</v>
      </c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21">
        <f t="shared" si="227"/>
        <v>0</v>
      </c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21">
        <f t="shared" si="228"/>
        <v>0</v>
      </c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21">
        <f t="shared" si="229"/>
        <v>0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1">
        <f t="shared" si="230"/>
        <v>0</v>
      </c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21">
        <f t="shared" si="231"/>
        <v>0</v>
      </c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21">
        <f t="shared" si="232"/>
        <v>0</v>
      </c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1">
        <f t="shared" si="233"/>
        <v>0</v>
      </c>
    </row>
    <row r="15" spans="3:143" hidden="1">
      <c r="C15" s="18" t="s">
        <v>10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21">
        <f t="shared" si="234"/>
        <v>0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21">
        <f t="shared" si="235"/>
        <v>0</v>
      </c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21">
        <f t="shared" si="226"/>
        <v>0</v>
      </c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21">
        <f t="shared" si="227"/>
        <v>0</v>
      </c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21">
        <f t="shared" si="228"/>
        <v>0</v>
      </c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21">
        <f t="shared" si="229"/>
        <v>0</v>
      </c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1">
        <f t="shared" si="230"/>
        <v>0</v>
      </c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21">
        <f t="shared" si="231"/>
        <v>0</v>
      </c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21">
        <f t="shared" si="232"/>
        <v>0</v>
      </c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21">
        <f t="shared" si="233"/>
        <v>0</v>
      </c>
    </row>
    <row r="16" spans="3:143" hidden="1">
      <c r="C16" s="18" t="s">
        <v>10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21">
        <f t="shared" si="234"/>
        <v>0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21">
        <f t="shared" si="235"/>
        <v>0</v>
      </c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21">
        <f t="shared" si="226"/>
        <v>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21">
        <f t="shared" si="227"/>
        <v>0</v>
      </c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21">
        <f t="shared" si="228"/>
        <v>0</v>
      </c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21">
        <f t="shared" si="229"/>
        <v>0</v>
      </c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1">
        <f t="shared" si="230"/>
        <v>0</v>
      </c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21">
        <f t="shared" si="231"/>
        <v>0</v>
      </c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21">
        <f t="shared" si="232"/>
        <v>0</v>
      </c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21">
        <f t="shared" si="233"/>
        <v>0</v>
      </c>
    </row>
    <row r="17" spans="3:143" hidden="1">
      <c r="C17" s="18" t="s">
        <v>10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1">
        <f t="shared" si="234"/>
        <v>0</v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21">
        <f t="shared" si="235"/>
        <v>0</v>
      </c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21">
        <f t="shared" si="226"/>
        <v>0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21">
        <f t="shared" si="227"/>
        <v>0</v>
      </c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21">
        <f t="shared" si="228"/>
        <v>0</v>
      </c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21">
        <f t="shared" si="229"/>
        <v>0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1">
        <f t="shared" si="230"/>
        <v>0</v>
      </c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21">
        <f t="shared" si="231"/>
        <v>0</v>
      </c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21">
        <f t="shared" si="232"/>
        <v>0</v>
      </c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21">
        <f t="shared" si="233"/>
        <v>0</v>
      </c>
    </row>
    <row r="18" spans="3:143" hidden="1">
      <c r="C18" s="18" t="s">
        <v>10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1">
        <f t="shared" si="234"/>
        <v>0</v>
      </c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21">
        <f t="shared" si="235"/>
        <v>0</v>
      </c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21">
        <f t="shared" si="226"/>
        <v>0</v>
      </c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21">
        <f t="shared" si="227"/>
        <v>0</v>
      </c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21">
        <f t="shared" si="228"/>
        <v>0</v>
      </c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21">
        <f t="shared" si="229"/>
        <v>0</v>
      </c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1">
        <f t="shared" si="230"/>
        <v>0</v>
      </c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21">
        <f t="shared" si="231"/>
        <v>0</v>
      </c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21">
        <f t="shared" si="232"/>
        <v>0</v>
      </c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21">
        <f t="shared" si="233"/>
        <v>0</v>
      </c>
    </row>
    <row r="19" spans="3:143" hidden="1">
      <c r="C19" s="18" t="s">
        <v>10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21">
        <f t="shared" si="234"/>
        <v>0</v>
      </c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1">
        <f t="shared" si="235"/>
        <v>0</v>
      </c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21">
        <f t="shared" si="226"/>
        <v>0</v>
      </c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21">
        <f t="shared" si="227"/>
        <v>0</v>
      </c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21">
        <f t="shared" si="228"/>
        <v>0</v>
      </c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21">
        <f t="shared" si="229"/>
        <v>0</v>
      </c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1">
        <f t="shared" si="230"/>
        <v>0</v>
      </c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21">
        <f t="shared" si="231"/>
        <v>0</v>
      </c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21">
        <f t="shared" si="232"/>
        <v>0</v>
      </c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21">
        <f t="shared" si="233"/>
        <v>0</v>
      </c>
    </row>
    <row r="20" spans="3:143" ht="16.5">
      <c r="C20" s="14" t="s">
        <v>12</v>
      </c>
      <c r="E20" s="20">
        <f t="shared" ref="E20:Q20" ca="1" si="236">SUM(INDIRECT(ADDRESS(income_min_row,COLUMN())&amp;":"&amp;ADDRESS(income_max_row,COLUMN())))</f>
        <v>4650</v>
      </c>
      <c r="F20" s="20">
        <f t="shared" ca="1" si="236"/>
        <v>4550</v>
      </c>
      <c r="G20" s="20">
        <f t="shared" ca="1" si="236"/>
        <v>4600</v>
      </c>
      <c r="H20" s="20">
        <f t="shared" ca="1" si="236"/>
        <v>5650</v>
      </c>
      <c r="I20" s="20">
        <f t="shared" ca="1" si="236"/>
        <v>5550</v>
      </c>
      <c r="J20" s="20">
        <f t="shared" ca="1" si="236"/>
        <v>5600</v>
      </c>
      <c r="K20" s="20">
        <f t="shared" ca="1" si="236"/>
        <v>5650</v>
      </c>
      <c r="L20" s="20">
        <f t="shared" ca="1" si="236"/>
        <v>5550</v>
      </c>
      <c r="M20" s="20">
        <f t="shared" ca="1" si="236"/>
        <v>5600</v>
      </c>
      <c r="N20" s="20">
        <f t="shared" ca="1" si="236"/>
        <v>5650</v>
      </c>
      <c r="O20" s="20">
        <f t="shared" ca="1" si="236"/>
        <v>5550</v>
      </c>
      <c r="P20" s="20">
        <f t="shared" ca="1" si="236"/>
        <v>5600</v>
      </c>
      <c r="Q20" s="20">
        <f t="shared" ca="1" si="236"/>
        <v>64200</v>
      </c>
      <c r="S20" s="20">
        <f t="shared" ref="S20:AE20" ca="1" si="237">SUM(INDIRECT(ADDRESS(income_min_row,COLUMN())&amp;":"&amp;ADDRESS(income_max_row,COLUMN())))</f>
        <v>0</v>
      </c>
      <c r="T20" s="20">
        <f t="shared" ca="1" si="237"/>
        <v>0</v>
      </c>
      <c r="U20" s="20">
        <f t="shared" ca="1" si="237"/>
        <v>0</v>
      </c>
      <c r="V20" s="20">
        <f t="shared" ca="1" si="237"/>
        <v>0</v>
      </c>
      <c r="W20" s="20">
        <f t="shared" ca="1" si="237"/>
        <v>0</v>
      </c>
      <c r="X20" s="20">
        <f t="shared" ca="1" si="237"/>
        <v>0</v>
      </c>
      <c r="Y20" s="20">
        <f t="shared" ca="1" si="237"/>
        <v>0</v>
      </c>
      <c r="Z20" s="20">
        <f t="shared" ca="1" si="237"/>
        <v>0</v>
      </c>
      <c r="AA20" s="20">
        <f t="shared" ca="1" si="237"/>
        <v>0</v>
      </c>
      <c r="AB20" s="20">
        <f t="shared" ca="1" si="237"/>
        <v>0</v>
      </c>
      <c r="AC20" s="20">
        <f t="shared" ca="1" si="237"/>
        <v>0</v>
      </c>
      <c r="AD20" s="20">
        <f t="shared" ca="1" si="237"/>
        <v>0</v>
      </c>
      <c r="AE20" s="20">
        <f t="shared" ca="1" si="237"/>
        <v>0</v>
      </c>
      <c r="AG20" s="20">
        <f t="shared" ref="AG20:AS20" ca="1" si="238">SUM(INDIRECT(ADDRESS(income_min_row,COLUMN())&amp;":"&amp;ADDRESS(income_max_row,COLUMN())))</f>
        <v>0</v>
      </c>
      <c r="AH20" s="20">
        <f t="shared" ca="1" si="238"/>
        <v>0</v>
      </c>
      <c r="AI20" s="20">
        <f t="shared" ca="1" si="238"/>
        <v>0</v>
      </c>
      <c r="AJ20" s="20">
        <f t="shared" ca="1" si="238"/>
        <v>0</v>
      </c>
      <c r="AK20" s="20">
        <f t="shared" ca="1" si="238"/>
        <v>0</v>
      </c>
      <c r="AL20" s="20">
        <f t="shared" ca="1" si="238"/>
        <v>0</v>
      </c>
      <c r="AM20" s="20">
        <f t="shared" ca="1" si="238"/>
        <v>0</v>
      </c>
      <c r="AN20" s="20">
        <f t="shared" ca="1" si="238"/>
        <v>0</v>
      </c>
      <c r="AO20" s="20">
        <f t="shared" ca="1" si="238"/>
        <v>0</v>
      </c>
      <c r="AP20" s="20">
        <f t="shared" ca="1" si="238"/>
        <v>0</v>
      </c>
      <c r="AQ20" s="20">
        <f t="shared" ca="1" si="238"/>
        <v>0</v>
      </c>
      <c r="AR20" s="20">
        <f t="shared" ca="1" si="238"/>
        <v>0</v>
      </c>
      <c r="AS20" s="20">
        <f t="shared" ca="1" si="238"/>
        <v>0</v>
      </c>
      <c r="AU20" s="20">
        <f t="shared" ref="AU20:BG20" ca="1" si="239">SUM(INDIRECT(ADDRESS(income_min_row,COLUMN())&amp;":"&amp;ADDRESS(income_max_row,COLUMN())))</f>
        <v>0</v>
      </c>
      <c r="AV20" s="20">
        <f t="shared" ca="1" si="239"/>
        <v>0</v>
      </c>
      <c r="AW20" s="20">
        <f t="shared" ca="1" si="239"/>
        <v>0</v>
      </c>
      <c r="AX20" s="20">
        <f t="shared" ca="1" si="239"/>
        <v>0</v>
      </c>
      <c r="AY20" s="20">
        <f t="shared" ca="1" si="239"/>
        <v>0</v>
      </c>
      <c r="AZ20" s="20">
        <f t="shared" ca="1" si="239"/>
        <v>0</v>
      </c>
      <c r="BA20" s="20">
        <f t="shared" ca="1" si="239"/>
        <v>0</v>
      </c>
      <c r="BB20" s="20">
        <f t="shared" ca="1" si="239"/>
        <v>0</v>
      </c>
      <c r="BC20" s="20">
        <f t="shared" ca="1" si="239"/>
        <v>0</v>
      </c>
      <c r="BD20" s="20">
        <f t="shared" ca="1" si="239"/>
        <v>0</v>
      </c>
      <c r="BE20" s="20">
        <f t="shared" ca="1" si="239"/>
        <v>0</v>
      </c>
      <c r="BF20" s="20">
        <f t="shared" ca="1" si="239"/>
        <v>0</v>
      </c>
      <c r="BG20" s="20">
        <f t="shared" ca="1" si="239"/>
        <v>0</v>
      </c>
      <c r="BI20" s="20">
        <f t="shared" ref="BI20:BU20" ca="1" si="240">SUM(INDIRECT(ADDRESS(income_min_row,COLUMN())&amp;":"&amp;ADDRESS(income_max_row,COLUMN())))</f>
        <v>0</v>
      </c>
      <c r="BJ20" s="20">
        <f t="shared" ca="1" si="240"/>
        <v>0</v>
      </c>
      <c r="BK20" s="20">
        <f t="shared" ca="1" si="240"/>
        <v>0</v>
      </c>
      <c r="BL20" s="20">
        <f t="shared" ca="1" si="240"/>
        <v>0</v>
      </c>
      <c r="BM20" s="20">
        <f t="shared" ca="1" si="240"/>
        <v>0</v>
      </c>
      <c r="BN20" s="20">
        <f t="shared" ca="1" si="240"/>
        <v>0</v>
      </c>
      <c r="BO20" s="20">
        <f t="shared" ca="1" si="240"/>
        <v>0</v>
      </c>
      <c r="BP20" s="20">
        <f t="shared" ca="1" si="240"/>
        <v>0</v>
      </c>
      <c r="BQ20" s="20">
        <f t="shared" ca="1" si="240"/>
        <v>0</v>
      </c>
      <c r="BR20" s="20">
        <f t="shared" ca="1" si="240"/>
        <v>0</v>
      </c>
      <c r="BS20" s="20">
        <f t="shared" ca="1" si="240"/>
        <v>0</v>
      </c>
      <c r="BT20" s="20">
        <f t="shared" ca="1" si="240"/>
        <v>0</v>
      </c>
      <c r="BU20" s="20">
        <f t="shared" ca="1" si="240"/>
        <v>0</v>
      </c>
      <c r="BW20" s="20">
        <f t="shared" ref="BW20:CI20" ca="1" si="241">SUM(INDIRECT(ADDRESS(income_min_row,COLUMN())&amp;":"&amp;ADDRESS(income_max_row,COLUMN())))</f>
        <v>0</v>
      </c>
      <c r="BX20" s="20">
        <f t="shared" ca="1" si="241"/>
        <v>0</v>
      </c>
      <c r="BY20" s="20">
        <f t="shared" ca="1" si="241"/>
        <v>0</v>
      </c>
      <c r="BZ20" s="20">
        <f t="shared" ca="1" si="241"/>
        <v>0</v>
      </c>
      <c r="CA20" s="20">
        <f t="shared" ca="1" si="241"/>
        <v>0</v>
      </c>
      <c r="CB20" s="20">
        <f t="shared" ca="1" si="241"/>
        <v>0</v>
      </c>
      <c r="CC20" s="20">
        <f t="shared" ca="1" si="241"/>
        <v>0</v>
      </c>
      <c r="CD20" s="20">
        <f t="shared" ca="1" si="241"/>
        <v>0</v>
      </c>
      <c r="CE20" s="20">
        <f t="shared" ca="1" si="241"/>
        <v>0</v>
      </c>
      <c r="CF20" s="20">
        <f t="shared" ca="1" si="241"/>
        <v>0</v>
      </c>
      <c r="CG20" s="20">
        <f t="shared" ca="1" si="241"/>
        <v>0</v>
      </c>
      <c r="CH20" s="20">
        <f t="shared" ca="1" si="241"/>
        <v>0</v>
      </c>
      <c r="CI20" s="20">
        <f t="shared" ca="1" si="241"/>
        <v>0</v>
      </c>
      <c r="CK20" s="20">
        <f t="shared" ref="CK20:CW20" ca="1" si="242">SUM(INDIRECT(ADDRESS(income_min_row,COLUMN())&amp;":"&amp;ADDRESS(income_max_row,COLUMN())))</f>
        <v>0</v>
      </c>
      <c r="CL20" s="20">
        <f t="shared" ca="1" si="242"/>
        <v>0</v>
      </c>
      <c r="CM20" s="20">
        <f t="shared" ca="1" si="242"/>
        <v>0</v>
      </c>
      <c r="CN20" s="20">
        <f t="shared" ca="1" si="242"/>
        <v>0</v>
      </c>
      <c r="CO20" s="20">
        <f t="shared" ca="1" si="242"/>
        <v>0</v>
      </c>
      <c r="CP20" s="20">
        <f t="shared" ca="1" si="242"/>
        <v>0</v>
      </c>
      <c r="CQ20" s="20">
        <f t="shared" ca="1" si="242"/>
        <v>0</v>
      </c>
      <c r="CR20" s="20">
        <f t="shared" ca="1" si="242"/>
        <v>0</v>
      </c>
      <c r="CS20" s="20">
        <f t="shared" ca="1" si="242"/>
        <v>0</v>
      </c>
      <c r="CT20" s="20">
        <f t="shared" ca="1" si="242"/>
        <v>0</v>
      </c>
      <c r="CU20" s="20">
        <f t="shared" ca="1" si="242"/>
        <v>0</v>
      </c>
      <c r="CV20" s="20">
        <f t="shared" ca="1" si="242"/>
        <v>0</v>
      </c>
      <c r="CW20" s="20">
        <f t="shared" ca="1" si="242"/>
        <v>0</v>
      </c>
      <c r="CY20" s="20">
        <f t="shared" ref="CY20:DK20" ca="1" si="243">SUM(INDIRECT(ADDRESS(income_min_row,COLUMN())&amp;":"&amp;ADDRESS(income_max_row,COLUMN())))</f>
        <v>0</v>
      </c>
      <c r="CZ20" s="20">
        <f t="shared" ca="1" si="243"/>
        <v>0</v>
      </c>
      <c r="DA20" s="20">
        <f t="shared" ca="1" si="243"/>
        <v>0</v>
      </c>
      <c r="DB20" s="20">
        <f t="shared" ca="1" si="243"/>
        <v>0</v>
      </c>
      <c r="DC20" s="20">
        <f t="shared" ca="1" si="243"/>
        <v>0</v>
      </c>
      <c r="DD20" s="20">
        <f t="shared" ca="1" si="243"/>
        <v>0</v>
      </c>
      <c r="DE20" s="20">
        <f t="shared" ca="1" si="243"/>
        <v>0</v>
      </c>
      <c r="DF20" s="20">
        <f t="shared" ca="1" si="243"/>
        <v>0</v>
      </c>
      <c r="DG20" s="20">
        <f t="shared" ca="1" si="243"/>
        <v>0</v>
      </c>
      <c r="DH20" s="20">
        <f t="shared" ca="1" si="243"/>
        <v>0</v>
      </c>
      <c r="DI20" s="20">
        <f t="shared" ca="1" si="243"/>
        <v>0</v>
      </c>
      <c r="DJ20" s="20">
        <f t="shared" ca="1" si="243"/>
        <v>0</v>
      </c>
      <c r="DK20" s="20">
        <f t="shared" ca="1" si="243"/>
        <v>0</v>
      </c>
      <c r="DM20" s="20">
        <f t="shared" ref="DM20:DY20" ca="1" si="244">SUM(INDIRECT(ADDRESS(income_min_row,COLUMN())&amp;":"&amp;ADDRESS(income_max_row,COLUMN())))</f>
        <v>0</v>
      </c>
      <c r="DN20" s="20">
        <f t="shared" ca="1" si="244"/>
        <v>0</v>
      </c>
      <c r="DO20" s="20">
        <f t="shared" ca="1" si="244"/>
        <v>0</v>
      </c>
      <c r="DP20" s="20">
        <f t="shared" ca="1" si="244"/>
        <v>0</v>
      </c>
      <c r="DQ20" s="20">
        <f t="shared" ca="1" si="244"/>
        <v>0</v>
      </c>
      <c r="DR20" s="20">
        <f t="shared" ca="1" si="244"/>
        <v>0</v>
      </c>
      <c r="DS20" s="20">
        <f t="shared" ca="1" si="244"/>
        <v>0</v>
      </c>
      <c r="DT20" s="20">
        <f t="shared" ca="1" si="244"/>
        <v>0</v>
      </c>
      <c r="DU20" s="20">
        <f t="shared" ca="1" si="244"/>
        <v>0</v>
      </c>
      <c r="DV20" s="20">
        <f t="shared" ca="1" si="244"/>
        <v>0</v>
      </c>
      <c r="DW20" s="20">
        <f t="shared" ca="1" si="244"/>
        <v>0</v>
      </c>
      <c r="DX20" s="20">
        <f t="shared" ca="1" si="244"/>
        <v>0</v>
      </c>
      <c r="DY20" s="20">
        <f t="shared" ca="1" si="244"/>
        <v>0</v>
      </c>
      <c r="EA20" s="20">
        <f t="shared" ref="EA20:EM20" ca="1" si="245">SUM(INDIRECT(ADDRESS(income_min_row,COLUMN())&amp;":"&amp;ADDRESS(income_max_row,COLUMN())))</f>
        <v>0</v>
      </c>
      <c r="EB20" s="20">
        <f t="shared" ca="1" si="245"/>
        <v>0</v>
      </c>
      <c r="EC20" s="20">
        <f t="shared" ca="1" si="245"/>
        <v>0</v>
      </c>
      <c r="ED20" s="20">
        <f t="shared" ca="1" si="245"/>
        <v>0</v>
      </c>
      <c r="EE20" s="20">
        <f t="shared" ca="1" si="245"/>
        <v>0</v>
      </c>
      <c r="EF20" s="20">
        <f t="shared" ca="1" si="245"/>
        <v>0</v>
      </c>
      <c r="EG20" s="20">
        <f t="shared" ca="1" si="245"/>
        <v>0</v>
      </c>
      <c r="EH20" s="20">
        <f t="shared" ca="1" si="245"/>
        <v>0</v>
      </c>
      <c r="EI20" s="20">
        <f t="shared" ca="1" si="245"/>
        <v>0</v>
      </c>
      <c r="EJ20" s="20">
        <f t="shared" ca="1" si="245"/>
        <v>0</v>
      </c>
      <c r="EK20" s="20">
        <f t="shared" ca="1" si="245"/>
        <v>0</v>
      </c>
      <c r="EL20" s="20">
        <f t="shared" ca="1" si="245"/>
        <v>0</v>
      </c>
      <c r="EM20" s="20">
        <f t="shared" ca="1" si="245"/>
        <v>0</v>
      </c>
    </row>
    <row r="22" spans="3:143" ht="16.5">
      <c r="C22" s="13" t="s">
        <v>38</v>
      </c>
      <c r="E22" s="22">
        <f>DATE(E$5,1,1)</f>
        <v>44562</v>
      </c>
      <c r="F22" s="22">
        <f>DATE(E$5,2,1)</f>
        <v>44593</v>
      </c>
      <c r="G22" s="22">
        <f>DATE(E$5,3,1)</f>
        <v>44621</v>
      </c>
      <c r="H22" s="22">
        <f>DATE(E$5,4,1)</f>
        <v>44652</v>
      </c>
      <c r="I22" s="22">
        <f>DATE(E$5,5,1)</f>
        <v>44682</v>
      </c>
      <c r="J22" s="22">
        <f>DATE(E$5,6,1)</f>
        <v>44713</v>
      </c>
      <c r="K22" s="22">
        <f>DATE(E$5,7,1)</f>
        <v>44743</v>
      </c>
      <c r="L22" s="22">
        <f>DATE(E$5,8,1)</f>
        <v>44774</v>
      </c>
      <c r="M22" s="22">
        <f>DATE(E$5,9,1)</f>
        <v>44805</v>
      </c>
      <c r="N22" s="22">
        <f>DATE(E$5,10,1)</f>
        <v>44835</v>
      </c>
      <c r="O22" s="22">
        <f>DATE(E$5,11,1)</f>
        <v>44866</v>
      </c>
      <c r="P22" s="22">
        <f>DATE(E$5,12,1)</f>
        <v>44896</v>
      </c>
      <c r="Q22" s="23">
        <f>E$5</f>
        <v>2022</v>
      </c>
      <c r="S22" s="22">
        <f>DATE(S$5,1,1)</f>
        <v>44927</v>
      </c>
      <c r="T22" s="22">
        <f>DATE(S$5,2,1)</f>
        <v>44958</v>
      </c>
      <c r="U22" s="22">
        <f>DATE(S$5,3,1)</f>
        <v>44986</v>
      </c>
      <c r="V22" s="22">
        <f>DATE(S$5,4,1)</f>
        <v>45017</v>
      </c>
      <c r="W22" s="22">
        <f>DATE(S$5,5,1)</f>
        <v>45047</v>
      </c>
      <c r="X22" s="22">
        <f>DATE(S$5,6,1)</f>
        <v>45078</v>
      </c>
      <c r="Y22" s="22">
        <f>DATE(S$5,7,1)</f>
        <v>45108</v>
      </c>
      <c r="Z22" s="22">
        <f>DATE(S$5,8,1)</f>
        <v>45139</v>
      </c>
      <c r="AA22" s="22">
        <f>DATE(S$5,9,1)</f>
        <v>45170</v>
      </c>
      <c r="AB22" s="22">
        <f>DATE(S$5,10,1)</f>
        <v>45200</v>
      </c>
      <c r="AC22" s="22">
        <f>DATE(S$5,11,1)</f>
        <v>45231</v>
      </c>
      <c r="AD22" s="22">
        <f>DATE(S$5,12,1)</f>
        <v>45261</v>
      </c>
      <c r="AE22" s="23">
        <f>S$5</f>
        <v>2023</v>
      </c>
      <c r="AG22" s="22">
        <f t="shared" ref="AG22" si="246">DATE(AG$5,1,1)</f>
        <v>45292</v>
      </c>
      <c r="AH22" s="22">
        <f t="shared" ref="AH22" si="247">DATE(AG$5,2,1)</f>
        <v>45323</v>
      </c>
      <c r="AI22" s="22">
        <f t="shared" ref="AI22" si="248">DATE(AG$5,3,1)</f>
        <v>45352</v>
      </c>
      <c r="AJ22" s="22">
        <f t="shared" ref="AJ22" si="249">DATE(AG$5,4,1)</f>
        <v>45383</v>
      </c>
      <c r="AK22" s="22">
        <f t="shared" ref="AK22" si="250">DATE(AG$5,5,1)</f>
        <v>45413</v>
      </c>
      <c r="AL22" s="22">
        <f t="shared" ref="AL22" si="251">DATE(AG$5,6,1)</f>
        <v>45444</v>
      </c>
      <c r="AM22" s="22">
        <f t="shared" ref="AM22" si="252">DATE(AG$5,7,1)</f>
        <v>45474</v>
      </c>
      <c r="AN22" s="22">
        <f t="shared" ref="AN22" si="253">DATE(AG$5,8,1)</f>
        <v>45505</v>
      </c>
      <c r="AO22" s="22">
        <f t="shared" ref="AO22" si="254">DATE(AG$5,9,1)</f>
        <v>45536</v>
      </c>
      <c r="AP22" s="22">
        <f t="shared" ref="AP22" si="255">DATE(AG$5,10,1)</f>
        <v>45566</v>
      </c>
      <c r="AQ22" s="22">
        <f t="shared" ref="AQ22" si="256">DATE(AG$5,11,1)</f>
        <v>45597</v>
      </c>
      <c r="AR22" s="22">
        <f t="shared" ref="AR22" si="257">DATE(AG$5,12,1)</f>
        <v>45627</v>
      </c>
      <c r="AS22" s="23">
        <f t="shared" ref="AS22" si="258">AG$5</f>
        <v>2024</v>
      </c>
      <c r="AU22" s="22">
        <f t="shared" ref="AU22" si="259">DATE(AU$5,1,1)</f>
        <v>45658</v>
      </c>
      <c r="AV22" s="22">
        <f t="shared" ref="AV22" si="260">DATE(AU$5,2,1)</f>
        <v>45689</v>
      </c>
      <c r="AW22" s="22">
        <f t="shared" ref="AW22" si="261">DATE(AU$5,3,1)</f>
        <v>45717</v>
      </c>
      <c r="AX22" s="22">
        <f t="shared" ref="AX22" si="262">DATE(AU$5,4,1)</f>
        <v>45748</v>
      </c>
      <c r="AY22" s="22">
        <f t="shared" ref="AY22" si="263">DATE(AU$5,5,1)</f>
        <v>45778</v>
      </c>
      <c r="AZ22" s="22">
        <f t="shared" ref="AZ22" si="264">DATE(AU$5,6,1)</f>
        <v>45809</v>
      </c>
      <c r="BA22" s="22">
        <f t="shared" ref="BA22" si="265">DATE(AU$5,7,1)</f>
        <v>45839</v>
      </c>
      <c r="BB22" s="22">
        <f t="shared" ref="BB22" si="266">DATE(AU$5,8,1)</f>
        <v>45870</v>
      </c>
      <c r="BC22" s="22">
        <f t="shared" ref="BC22" si="267">DATE(AU$5,9,1)</f>
        <v>45901</v>
      </c>
      <c r="BD22" s="22">
        <f t="shared" ref="BD22" si="268">DATE(AU$5,10,1)</f>
        <v>45931</v>
      </c>
      <c r="BE22" s="22">
        <f t="shared" ref="BE22" si="269">DATE(AU$5,11,1)</f>
        <v>45962</v>
      </c>
      <c r="BF22" s="22">
        <f t="shared" ref="BF22" si="270">DATE(AU$5,12,1)</f>
        <v>45992</v>
      </c>
      <c r="BG22" s="23">
        <f t="shared" ref="BG22" si="271">AU$5</f>
        <v>2025</v>
      </c>
      <c r="BI22" s="22">
        <f t="shared" ref="BI22" si="272">DATE(BI$5,1,1)</f>
        <v>46023</v>
      </c>
      <c r="BJ22" s="22">
        <f t="shared" ref="BJ22" si="273">DATE(BI$5,2,1)</f>
        <v>46054</v>
      </c>
      <c r="BK22" s="22">
        <f t="shared" ref="BK22" si="274">DATE(BI$5,3,1)</f>
        <v>46082</v>
      </c>
      <c r="BL22" s="22">
        <f t="shared" ref="BL22" si="275">DATE(BI$5,4,1)</f>
        <v>46113</v>
      </c>
      <c r="BM22" s="22">
        <f t="shared" ref="BM22" si="276">DATE(BI$5,5,1)</f>
        <v>46143</v>
      </c>
      <c r="BN22" s="22">
        <f t="shared" ref="BN22" si="277">DATE(BI$5,6,1)</f>
        <v>46174</v>
      </c>
      <c r="BO22" s="22">
        <f t="shared" ref="BO22" si="278">DATE(BI$5,7,1)</f>
        <v>46204</v>
      </c>
      <c r="BP22" s="22">
        <f t="shared" ref="BP22" si="279">DATE(BI$5,8,1)</f>
        <v>46235</v>
      </c>
      <c r="BQ22" s="22">
        <f t="shared" ref="BQ22" si="280">DATE(BI$5,9,1)</f>
        <v>46266</v>
      </c>
      <c r="BR22" s="22">
        <f t="shared" ref="BR22" si="281">DATE(BI$5,10,1)</f>
        <v>46296</v>
      </c>
      <c r="BS22" s="22">
        <f t="shared" ref="BS22" si="282">DATE(BI$5,11,1)</f>
        <v>46327</v>
      </c>
      <c r="BT22" s="22">
        <f t="shared" ref="BT22" si="283">DATE(BI$5,12,1)</f>
        <v>46357</v>
      </c>
      <c r="BU22" s="23">
        <f t="shared" ref="BU22" si="284">BI$5</f>
        <v>2026</v>
      </c>
      <c r="BW22" s="22">
        <f t="shared" ref="BW22" si="285">DATE(BW$5,1,1)</f>
        <v>46388</v>
      </c>
      <c r="BX22" s="22">
        <f t="shared" ref="BX22" si="286">DATE(BW$5,2,1)</f>
        <v>46419</v>
      </c>
      <c r="BY22" s="22">
        <f t="shared" ref="BY22" si="287">DATE(BW$5,3,1)</f>
        <v>46447</v>
      </c>
      <c r="BZ22" s="22">
        <f t="shared" ref="BZ22" si="288">DATE(BW$5,4,1)</f>
        <v>46478</v>
      </c>
      <c r="CA22" s="22">
        <f t="shared" ref="CA22" si="289">DATE(BW$5,5,1)</f>
        <v>46508</v>
      </c>
      <c r="CB22" s="22">
        <f t="shared" ref="CB22" si="290">DATE(BW$5,6,1)</f>
        <v>46539</v>
      </c>
      <c r="CC22" s="22">
        <f t="shared" ref="CC22" si="291">DATE(BW$5,7,1)</f>
        <v>46569</v>
      </c>
      <c r="CD22" s="22">
        <f t="shared" ref="CD22" si="292">DATE(BW$5,8,1)</f>
        <v>46600</v>
      </c>
      <c r="CE22" s="22">
        <f t="shared" ref="CE22" si="293">DATE(BW$5,9,1)</f>
        <v>46631</v>
      </c>
      <c r="CF22" s="22">
        <f t="shared" ref="CF22" si="294">DATE(BW$5,10,1)</f>
        <v>46661</v>
      </c>
      <c r="CG22" s="22">
        <f t="shared" ref="CG22" si="295">DATE(BW$5,11,1)</f>
        <v>46692</v>
      </c>
      <c r="CH22" s="22">
        <f t="shared" ref="CH22" si="296">DATE(BW$5,12,1)</f>
        <v>46722</v>
      </c>
      <c r="CI22" s="23">
        <f t="shared" ref="CI22" si="297">BW$5</f>
        <v>2027</v>
      </c>
      <c r="CK22" s="22">
        <f t="shared" ref="CK22" si="298">DATE(CK$5,1,1)</f>
        <v>46753</v>
      </c>
      <c r="CL22" s="22">
        <f t="shared" ref="CL22" si="299">DATE(CK$5,2,1)</f>
        <v>46784</v>
      </c>
      <c r="CM22" s="22">
        <f t="shared" ref="CM22" si="300">DATE(CK$5,3,1)</f>
        <v>46813</v>
      </c>
      <c r="CN22" s="22">
        <f t="shared" ref="CN22" si="301">DATE(CK$5,4,1)</f>
        <v>46844</v>
      </c>
      <c r="CO22" s="22">
        <f t="shared" ref="CO22" si="302">DATE(CK$5,5,1)</f>
        <v>46874</v>
      </c>
      <c r="CP22" s="22">
        <f t="shared" ref="CP22" si="303">DATE(CK$5,6,1)</f>
        <v>46905</v>
      </c>
      <c r="CQ22" s="22">
        <f t="shared" ref="CQ22" si="304">DATE(CK$5,7,1)</f>
        <v>46935</v>
      </c>
      <c r="CR22" s="22">
        <f t="shared" ref="CR22" si="305">DATE(CK$5,8,1)</f>
        <v>46966</v>
      </c>
      <c r="CS22" s="22">
        <f t="shared" ref="CS22" si="306">DATE(CK$5,9,1)</f>
        <v>46997</v>
      </c>
      <c r="CT22" s="22">
        <f t="shared" ref="CT22" si="307">DATE(CK$5,10,1)</f>
        <v>47027</v>
      </c>
      <c r="CU22" s="22">
        <f t="shared" ref="CU22" si="308">DATE(CK$5,11,1)</f>
        <v>47058</v>
      </c>
      <c r="CV22" s="22">
        <f t="shared" ref="CV22" si="309">DATE(CK$5,12,1)</f>
        <v>47088</v>
      </c>
      <c r="CW22" s="23">
        <f t="shared" ref="CW22" si="310">CK$5</f>
        <v>2028</v>
      </c>
      <c r="CY22" s="22">
        <f t="shared" ref="CY22" si="311">DATE(CY$5,1,1)</f>
        <v>47119</v>
      </c>
      <c r="CZ22" s="22">
        <f t="shared" ref="CZ22" si="312">DATE(CY$5,2,1)</f>
        <v>47150</v>
      </c>
      <c r="DA22" s="22">
        <f t="shared" ref="DA22" si="313">DATE(CY$5,3,1)</f>
        <v>47178</v>
      </c>
      <c r="DB22" s="22">
        <f t="shared" ref="DB22" si="314">DATE(CY$5,4,1)</f>
        <v>47209</v>
      </c>
      <c r="DC22" s="22">
        <f t="shared" ref="DC22" si="315">DATE(CY$5,5,1)</f>
        <v>47239</v>
      </c>
      <c r="DD22" s="22">
        <f t="shared" ref="DD22" si="316">DATE(CY$5,6,1)</f>
        <v>47270</v>
      </c>
      <c r="DE22" s="22">
        <f t="shared" ref="DE22" si="317">DATE(CY$5,7,1)</f>
        <v>47300</v>
      </c>
      <c r="DF22" s="22">
        <f t="shared" ref="DF22" si="318">DATE(CY$5,8,1)</f>
        <v>47331</v>
      </c>
      <c r="DG22" s="22">
        <f t="shared" ref="DG22" si="319">DATE(CY$5,9,1)</f>
        <v>47362</v>
      </c>
      <c r="DH22" s="22">
        <f t="shared" ref="DH22" si="320">DATE(CY$5,10,1)</f>
        <v>47392</v>
      </c>
      <c r="DI22" s="22">
        <f t="shared" ref="DI22" si="321">DATE(CY$5,11,1)</f>
        <v>47423</v>
      </c>
      <c r="DJ22" s="22">
        <f t="shared" ref="DJ22" si="322">DATE(CY$5,12,1)</f>
        <v>47453</v>
      </c>
      <c r="DK22" s="23">
        <f t="shared" ref="DK22" si="323">CY$5</f>
        <v>2029</v>
      </c>
      <c r="DM22" s="22">
        <f t="shared" ref="DM22" si="324">DATE(DM$5,1,1)</f>
        <v>47484</v>
      </c>
      <c r="DN22" s="22">
        <f t="shared" ref="DN22" si="325">DATE(DM$5,2,1)</f>
        <v>47515</v>
      </c>
      <c r="DO22" s="22">
        <f t="shared" ref="DO22" si="326">DATE(DM$5,3,1)</f>
        <v>47543</v>
      </c>
      <c r="DP22" s="22">
        <f t="shared" ref="DP22" si="327">DATE(DM$5,4,1)</f>
        <v>47574</v>
      </c>
      <c r="DQ22" s="22">
        <f t="shared" ref="DQ22" si="328">DATE(DM$5,5,1)</f>
        <v>47604</v>
      </c>
      <c r="DR22" s="22">
        <f t="shared" ref="DR22" si="329">DATE(DM$5,6,1)</f>
        <v>47635</v>
      </c>
      <c r="DS22" s="22">
        <f t="shared" ref="DS22" si="330">DATE(DM$5,7,1)</f>
        <v>47665</v>
      </c>
      <c r="DT22" s="22">
        <f t="shared" ref="DT22" si="331">DATE(DM$5,8,1)</f>
        <v>47696</v>
      </c>
      <c r="DU22" s="22">
        <f t="shared" ref="DU22" si="332">DATE(DM$5,9,1)</f>
        <v>47727</v>
      </c>
      <c r="DV22" s="22">
        <f t="shared" ref="DV22" si="333">DATE(DM$5,10,1)</f>
        <v>47757</v>
      </c>
      <c r="DW22" s="22">
        <f t="shared" ref="DW22" si="334">DATE(DM$5,11,1)</f>
        <v>47788</v>
      </c>
      <c r="DX22" s="22">
        <f t="shared" ref="DX22" si="335">DATE(DM$5,12,1)</f>
        <v>47818</v>
      </c>
      <c r="DY22" s="23">
        <f t="shared" ref="DY22" si="336">DM$5</f>
        <v>2030</v>
      </c>
      <c r="EA22" s="22">
        <f t="shared" ref="EA22" si="337">DATE(EA$5,1,1)</f>
        <v>47849</v>
      </c>
      <c r="EB22" s="22">
        <f t="shared" ref="EB22" si="338">DATE(EA$5,2,1)</f>
        <v>47880</v>
      </c>
      <c r="EC22" s="22">
        <f t="shared" ref="EC22" si="339">DATE(EA$5,3,1)</f>
        <v>47908</v>
      </c>
      <c r="ED22" s="22">
        <f t="shared" ref="ED22" si="340">DATE(EA$5,4,1)</f>
        <v>47939</v>
      </c>
      <c r="EE22" s="22">
        <f t="shared" ref="EE22" si="341">DATE(EA$5,5,1)</f>
        <v>47969</v>
      </c>
      <c r="EF22" s="22">
        <f t="shared" ref="EF22" si="342">DATE(EA$5,6,1)</f>
        <v>48000</v>
      </c>
      <c r="EG22" s="22">
        <f t="shared" ref="EG22" si="343">DATE(EA$5,7,1)</f>
        <v>48030</v>
      </c>
      <c r="EH22" s="22">
        <f t="shared" ref="EH22" si="344">DATE(EA$5,8,1)</f>
        <v>48061</v>
      </c>
      <c r="EI22" s="22">
        <f t="shared" ref="EI22" si="345">DATE(EA$5,9,1)</f>
        <v>48092</v>
      </c>
      <c r="EJ22" s="22">
        <f t="shared" ref="EJ22" si="346">DATE(EA$5,10,1)</f>
        <v>48122</v>
      </c>
      <c r="EK22" s="22">
        <f t="shared" ref="EK22" si="347">DATE(EA$5,11,1)</f>
        <v>48153</v>
      </c>
      <c r="EL22" s="22">
        <f t="shared" ref="EL22" si="348">DATE(EA$5,12,1)</f>
        <v>48183</v>
      </c>
      <c r="EM22" s="23">
        <f t="shared" ref="EM22" si="349">EA$5</f>
        <v>2031</v>
      </c>
    </row>
    <row r="23" spans="3:143">
      <c r="C23" s="18" t="s">
        <v>16</v>
      </c>
      <c r="E23" s="19">
        <v>1200</v>
      </c>
      <c r="F23" s="19">
        <v>1200</v>
      </c>
      <c r="G23" s="19">
        <v>1200</v>
      </c>
      <c r="H23" s="19">
        <v>1200</v>
      </c>
      <c r="I23" s="19">
        <v>1200</v>
      </c>
      <c r="J23" s="19">
        <v>1200</v>
      </c>
      <c r="K23" s="19">
        <v>1200</v>
      </c>
      <c r="L23" s="19">
        <v>1200</v>
      </c>
      <c r="M23" s="19">
        <v>1200</v>
      </c>
      <c r="N23" s="19">
        <v>1200</v>
      </c>
      <c r="O23" s="19">
        <v>1200</v>
      </c>
      <c r="P23" s="19">
        <v>1200</v>
      </c>
      <c r="Q23" s="21">
        <f>SUM(E23:P23)</f>
        <v>14400</v>
      </c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21">
        <f>SUM(S23:AD23)</f>
        <v>0</v>
      </c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21">
        <f t="shared" ref="AS23:AS35" si="350">SUM(AG23:AR23)</f>
        <v>0</v>
      </c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21">
        <f t="shared" ref="BG23:BG35" si="351">SUM(AU23:BF23)</f>
        <v>0</v>
      </c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21">
        <f t="shared" ref="BU23:BU35" si="352">SUM(BI23:BT23)</f>
        <v>0</v>
      </c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21">
        <f t="shared" ref="CI23:CI35" si="353">SUM(BW23:CH23)</f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1">
        <f t="shared" ref="CW23:CW35" si="354">SUM(CK23:CV23)</f>
        <v>0</v>
      </c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21">
        <f t="shared" ref="DK23:DK35" si="355">SUM(CY23:DJ23)</f>
        <v>0</v>
      </c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21">
        <f t="shared" ref="DY23:DY35" si="356">SUM(DM23:DX23)</f>
        <v>0</v>
      </c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21">
        <f t="shared" ref="EM23:EM35" si="357">SUM(EA23:EL23)</f>
        <v>0</v>
      </c>
    </row>
    <row r="24" spans="3:143">
      <c r="C24" s="18" t="s">
        <v>17</v>
      </c>
      <c r="E24" s="19">
        <v>300</v>
      </c>
      <c r="F24" s="19">
        <v>300</v>
      </c>
      <c r="G24" s="19">
        <v>300</v>
      </c>
      <c r="H24" s="19">
        <v>300</v>
      </c>
      <c r="I24" s="19">
        <v>300</v>
      </c>
      <c r="J24" s="19">
        <v>300</v>
      </c>
      <c r="K24" s="19">
        <v>300</v>
      </c>
      <c r="L24" s="19">
        <v>300</v>
      </c>
      <c r="M24" s="19">
        <v>300</v>
      </c>
      <c r="N24" s="19">
        <v>300</v>
      </c>
      <c r="O24" s="19">
        <v>300</v>
      </c>
      <c r="P24" s="19">
        <v>300</v>
      </c>
      <c r="Q24" s="21">
        <f t="shared" ref="Q24:Q35" si="358">SUM(E24:P24)</f>
        <v>3600</v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21">
        <f t="shared" ref="AE24:AE35" si="359">SUM(S24:AD24)</f>
        <v>0</v>
      </c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21">
        <f t="shared" si="350"/>
        <v>0</v>
      </c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21">
        <f t="shared" si="351"/>
        <v>0</v>
      </c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21">
        <f t="shared" si="352"/>
        <v>0</v>
      </c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21">
        <f t="shared" si="353"/>
        <v>0</v>
      </c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1">
        <f t="shared" si="354"/>
        <v>0</v>
      </c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21">
        <f t="shared" si="355"/>
        <v>0</v>
      </c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21">
        <f t="shared" si="356"/>
        <v>0</v>
      </c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21">
        <f t="shared" si="357"/>
        <v>0</v>
      </c>
    </row>
    <row r="25" spans="3:143">
      <c r="C25" s="18" t="s">
        <v>18</v>
      </c>
      <c r="E25" s="19">
        <v>350</v>
      </c>
      <c r="F25" s="19">
        <v>350</v>
      </c>
      <c r="G25" s="19">
        <v>350</v>
      </c>
      <c r="H25" s="19">
        <v>350</v>
      </c>
      <c r="I25" s="19">
        <v>350</v>
      </c>
      <c r="J25" s="19">
        <v>350</v>
      </c>
      <c r="K25" s="19">
        <v>350</v>
      </c>
      <c r="L25" s="19">
        <v>350</v>
      </c>
      <c r="M25" s="19">
        <v>350</v>
      </c>
      <c r="N25" s="19">
        <v>350</v>
      </c>
      <c r="O25" s="19">
        <v>350</v>
      </c>
      <c r="P25" s="19">
        <v>350</v>
      </c>
      <c r="Q25" s="21">
        <f t="shared" si="358"/>
        <v>4200</v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21">
        <f t="shared" si="359"/>
        <v>0</v>
      </c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21">
        <f t="shared" si="350"/>
        <v>0</v>
      </c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21">
        <f t="shared" si="351"/>
        <v>0</v>
      </c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21">
        <f t="shared" si="352"/>
        <v>0</v>
      </c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21">
        <f t="shared" si="353"/>
        <v>0</v>
      </c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1">
        <f t="shared" si="354"/>
        <v>0</v>
      </c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21">
        <f t="shared" si="355"/>
        <v>0</v>
      </c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21">
        <f t="shared" si="356"/>
        <v>0</v>
      </c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21">
        <f t="shared" si="357"/>
        <v>0</v>
      </c>
    </row>
    <row r="26" spans="3:143">
      <c r="C26" s="18" t="s">
        <v>25</v>
      </c>
      <c r="E26" s="19">
        <v>300</v>
      </c>
      <c r="F26" s="19">
        <v>300</v>
      </c>
      <c r="G26" s="19">
        <v>300</v>
      </c>
      <c r="H26" s="19">
        <v>300</v>
      </c>
      <c r="I26" s="19">
        <v>300</v>
      </c>
      <c r="J26" s="19">
        <v>300</v>
      </c>
      <c r="K26" s="19">
        <v>300</v>
      </c>
      <c r="L26" s="19">
        <v>300</v>
      </c>
      <c r="M26" s="19">
        <v>300</v>
      </c>
      <c r="N26" s="19">
        <v>300</v>
      </c>
      <c r="O26" s="19">
        <v>300</v>
      </c>
      <c r="P26" s="19">
        <v>300</v>
      </c>
      <c r="Q26" s="21">
        <f t="shared" si="358"/>
        <v>3600</v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21">
        <f t="shared" si="359"/>
        <v>0</v>
      </c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21">
        <f t="shared" si="350"/>
        <v>0</v>
      </c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21">
        <f t="shared" si="351"/>
        <v>0</v>
      </c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21">
        <f t="shared" si="352"/>
        <v>0</v>
      </c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21">
        <f t="shared" si="353"/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1">
        <f t="shared" si="354"/>
        <v>0</v>
      </c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21">
        <f t="shared" si="355"/>
        <v>0</v>
      </c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21">
        <f t="shared" si="356"/>
        <v>0</v>
      </c>
      <c r="EA26" s="19"/>
      <c r="EB26" s="19"/>
      <c r="EC26" s="19"/>
      <c r="ED26" s="19"/>
      <c r="EE26" s="19"/>
      <c r="EF26" s="19"/>
      <c r="EG26" s="19"/>
      <c r="EH26" s="19"/>
      <c r="EI26" s="19"/>
      <c r="EJ26" s="19"/>
      <c r="EK26" s="19"/>
      <c r="EL26" s="19"/>
      <c r="EM26" s="21">
        <f t="shared" si="357"/>
        <v>0</v>
      </c>
    </row>
    <row r="27" spans="3:143">
      <c r="C27" s="18" t="s">
        <v>26</v>
      </c>
      <c r="E27" s="19">
        <v>0</v>
      </c>
      <c r="F27" s="19">
        <v>0</v>
      </c>
      <c r="G27" s="19">
        <v>150</v>
      </c>
      <c r="H27" s="19">
        <v>0</v>
      </c>
      <c r="I27" s="19">
        <v>0</v>
      </c>
      <c r="J27" s="19">
        <v>150</v>
      </c>
      <c r="K27" s="19">
        <v>0</v>
      </c>
      <c r="L27" s="19">
        <v>0</v>
      </c>
      <c r="M27" s="19">
        <v>150</v>
      </c>
      <c r="N27" s="19">
        <v>0</v>
      </c>
      <c r="O27" s="19">
        <v>0</v>
      </c>
      <c r="P27" s="19">
        <v>150</v>
      </c>
      <c r="Q27" s="21">
        <f t="shared" si="358"/>
        <v>600</v>
      </c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21">
        <f t="shared" si="359"/>
        <v>0</v>
      </c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21">
        <f t="shared" si="350"/>
        <v>0</v>
      </c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21">
        <f t="shared" si="351"/>
        <v>0</v>
      </c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21">
        <f t="shared" si="352"/>
        <v>0</v>
      </c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21">
        <f t="shared" si="353"/>
        <v>0</v>
      </c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1">
        <f t="shared" si="354"/>
        <v>0</v>
      </c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21">
        <f t="shared" si="355"/>
        <v>0</v>
      </c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21">
        <f t="shared" si="356"/>
        <v>0</v>
      </c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21">
        <f t="shared" si="357"/>
        <v>0</v>
      </c>
    </row>
    <row r="28" spans="3:143">
      <c r="C28" s="18" t="s">
        <v>27</v>
      </c>
      <c r="E28" s="19">
        <v>200</v>
      </c>
      <c r="F28" s="19">
        <v>200</v>
      </c>
      <c r="G28" s="19">
        <v>200</v>
      </c>
      <c r="H28" s="19">
        <v>200</v>
      </c>
      <c r="I28" s="19">
        <v>200</v>
      </c>
      <c r="J28" s="19">
        <v>200</v>
      </c>
      <c r="K28" s="19">
        <v>200</v>
      </c>
      <c r="L28" s="19">
        <v>200</v>
      </c>
      <c r="M28" s="19">
        <v>200</v>
      </c>
      <c r="N28" s="19">
        <v>200</v>
      </c>
      <c r="O28" s="19">
        <v>200</v>
      </c>
      <c r="P28" s="19">
        <v>200</v>
      </c>
      <c r="Q28" s="21">
        <f t="shared" si="358"/>
        <v>2400</v>
      </c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21">
        <f t="shared" si="359"/>
        <v>0</v>
      </c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21">
        <f t="shared" si="350"/>
        <v>0</v>
      </c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21">
        <f t="shared" si="351"/>
        <v>0</v>
      </c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21">
        <f t="shared" si="352"/>
        <v>0</v>
      </c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21">
        <f t="shared" si="353"/>
        <v>0</v>
      </c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1">
        <f t="shared" si="354"/>
        <v>0</v>
      </c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21">
        <f t="shared" si="355"/>
        <v>0</v>
      </c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21">
        <f t="shared" si="356"/>
        <v>0</v>
      </c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1">
        <f t="shared" si="357"/>
        <v>0</v>
      </c>
    </row>
    <row r="29" spans="3:143">
      <c r="C29" s="18" t="s">
        <v>28</v>
      </c>
      <c r="E29" s="19">
        <v>200</v>
      </c>
      <c r="F29" s="19">
        <v>200</v>
      </c>
      <c r="G29" s="19">
        <v>200</v>
      </c>
      <c r="H29" s="19">
        <v>200</v>
      </c>
      <c r="I29" s="19">
        <v>200</v>
      </c>
      <c r="J29" s="19">
        <v>200</v>
      </c>
      <c r="K29" s="19">
        <v>200</v>
      </c>
      <c r="L29" s="19">
        <v>200</v>
      </c>
      <c r="M29" s="19">
        <v>200</v>
      </c>
      <c r="N29" s="19">
        <v>200</v>
      </c>
      <c r="O29" s="19">
        <v>200</v>
      </c>
      <c r="P29" s="19">
        <v>200</v>
      </c>
      <c r="Q29" s="21">
        <f t="shared" si="358"/>
        <v>2400</v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1">
        <f t="shared" si="359"/>
        <v>0</v>
      </c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21">
        <f t="shared" si="350"/>
        <v>0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21">
        <f t="shared" si="351"/>
        <v>0</v>
      </c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21">
        <f t="shared" si="352"/>
        <v>0</v>
      </c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21">
        <f t="shared" si="353"/>
        <v>0</v>
      </c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1">
        <f t="shared" si="354"/>
        <v>0</v>
      </c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21">
        <f t="shared" si="355"/>
        <v>0</v>
      </c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21">
        <f t="shared" si="356"/>
        <v>0</v>
      </c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21">
        <f t="shared" si="357"/>
        <v>0</v>
      </c>
    </row>
    <row r="30" spans="3:143">
      <c r="C30" s="18" t="s">
        <v>30</v>
      </c>
      <c r="E30" s="19">
        <v>50</v>
      </c>
      <c r="F30" s="19">
        <v>50</v>
      </c>
      <c r="G30" s="19">
        <v>50</v>
      </c>
      <c r="H30" s="19">
        <v>50</v>
      </c>
      <c r="I30" s="19">
        <v>50</v>
      </c>
      <c r="J30" s="19">
        <v>50</v>
      </c>
      <c r="K30" s="19">
        <v>50</v>
      </c>
      <c r="L30" s="19">
        <v>50</v>
      </c>
      <c r="M30" s="19">
        <v>50</v>
      </c>
      <c r="N30" s="19">
        <v>50</v>
      </c>
      <c r="O30" s="19">
        <v>50</v>
      </c>
      <c r="P30" s="19">
        <v>50</v>
      </c>
      <c r="Q30" s="21">
        <f t="shared" si="358"/>
        <v>600</v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21">
        <f t="shared" si="359"/>
        <v>0</v>
      </c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21">
        <f t="shared" si="350"/>
        <v>0</v>
      </c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21">
        <f t="shared" si="351"/>
        <v>0</v>
      </c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21">
        <f t="shared" si="352"/>
        <v>0</v>
      </c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21">
        <f t="shared" si="353"/>
        <v>0</v>
      </c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1">
        <f t="shared" si="354"/>
        <v>0</v>
      </c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21">
        <f t="shared" si="355"/>
        <v>0</v>
      </c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21">
        <f t="shared" si="356"/>
        <v>0</v>
      </c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21">
        <f t="shared" si="357"/>
        <v>0</v>
      </c>
    </row>
    <row r="31" spans="3:143">
      <c r="C31" s="18" t="s">
        <v>29</v>
      </c>
      <c r="E31" s="19">
        <v>300</v>
      </c>
      <c r="F31" s="19">
        <v>300</v>
      </c>
      <c r="G31" s="19">
        <v>300</v>
      </c>
      <c r="H31" s="19">
        <v>1200</v>
      </c>
      <c r="I31" s="19">
        <v>300</v>
      </c>
      <c r="J31" s="19">
        <v>300</v>
      </c>
      <c r="K31" s="19">
        <v>300</v>
      </c>
      <c r="L31" s="19">
        <v>1500</v>
      </c>
      <c r="M31" s="19">
        <v>300</v>
      </c>
      <c r="N31" s="19">
        <v>300</v>
      </c>
      <c r="O31" s="19">
        <v>300</v>
      </c>
      <c r="P31" s="19">
        <v>600</v>
      </c>
      <c r="Q31" s="21">
        <f t="shared" si="358"/>
        <v>6000</v>
      </c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21">
        <f t="shared" si="359"/>
        <v>0</v>
      </c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21">
        <f t="shared" si="350"/>
        <v>0</v>
      </c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21">
        <f t="shared" si="351"/>
        <v>0</v>
      </c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21">
        <f t="shared" si="352"/>
        <v>0</v>
      </c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21">
        <f t="shared" si="353"/>
        <v>0</v>
      </c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1">
        <f t="shared" si="354"/>
        <v>0</v>
      </c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21">
        <f t="shared" si="355"/>
        <v>0</v>
      </c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21">
        <f t="shared" si="356"/>
        <v>0</v>
      </c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21">
        <f t="shared" si="357"/>
        <v>0</v>
      </c>
    </row>
    <row r="32" spans="3:143" hidden="1">
      <c r="C32" s="18" t="s">
        <v>19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1">
        <f t="shared" si="358"/>
        <v>0</v>
      </c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21">
        <f t="shared" si="359"/>
        <v>0</v>
      </c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21">
        <f t="shared" si="350"/>
        <v>0</v>
      </c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21">
        <f t="shared" si="351"/>
        <v>0</v>
      </c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21">
        <f t="shared" si="352"/>
        <v>0</v>
      </c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21">
        <f t="shared" si="353"/>
        <v>0</v>
      </c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1">
        <f t="shared" si="354"/>
        <v>0</v>
      </c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21">
        <f t="shared" si="355"/>
        <v>0</v>
      </c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21">
        <f t="shared" si="356"/>
        <v>0</v>
      </c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21">
        <f t="shared" si="357"/>
        <v>0</v>
      </c>
    </row>
    <row r="33" spans="3:143" hidden="1">
      <c r="C33" s="18" t="s">
        <v>19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21">
        <f t="shared" si="358"/>
        <v>0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21">
        <f t="shared" si="359"/>
        <v>0</v>
      </c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21">
        <f t="shared" si="350"/>
        <v>0</v>
      </c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1">
        <f t="shared" si="351"/>
        <v>0</v>
      </c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21">
        <f t="shared" si="352"/>
        <v>0</v>
      </c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21">
        <f t="shared" si="353"/>
        <v>0</v>
      </c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1">
        <f t="shared" si="354"/>
        <v>0</v>
      </c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21">
        <f t="shared" si="355"/>
        <v>0</v>
      </c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21">
        <f t="shared" si="356"/>
        <v>0</v>
      </c>
      <c r="EA33" s="19"/>
      <c r="EB33" s="19"/>
      <c r="EC33" s="19"/>
      <c r="ED33" s="19"/>
      <c r="EE33" s="19"/>
      <c r="EF33" s="19"/>
      <c r="EG33" s="19"/>
      <c r="EH33" s="19"/>
      <c r="EI33" s="19"/>
      <c r="EJ33" s="19"/>
      <c r="EK33" s="19"/>
      <c r="EL33" s="19"/>
      <c r="EM33" s="21">
        <f t="shared" si="357"/>
        <v>0</v>
      </c>
    </row>
    <row r="34" spans="3:143" hidden="1">
      <c r="C34" s="18" t="s">
        <v>19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21">
        <f t="shared" si="358"/>
        <v>0</v>
      </c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21">
        <f t="shared" si="359"/>
        <v>0</v>
      </c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21">
        <f t="shared" si="350"/>
        <v>0</v>
      </c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21">
        <f t="shared" si="351"/>
        <v>0</v>
      </c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21">
        <f t="shared" si="352"/>
        <v>0</v>
      </c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21">
        <f t="shared" si="353"/>
        <v>0</v>
      </c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1">
        <f t="shared" si="354"/>
        <v>0</v>
      </c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21">
        <f t="shared" si="355"/>
        <v>0</v>
      </c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21">
        <f t="shared" si="356"/>
        <v>0</v>
      </c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21">
        <f t="shared" si="357"/>
        <v>0</v>
      </c>
    </row>
    <row r="35" spans="3:143" hidden="1">
      <c r="C35" s="18" t="s">
        <v>19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21">
        <f t="shared" si="358"/>
        <v>0</v>
      </c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21">
        <f t="shared" si="359"/>
        <v>0</v>
      </c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21">
        <f t="shared" si="350"/>
        <v>0</v>
      </c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21">
        <f t="shared" si="351"/>
        <v>0</v>
      </c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21">
        <f t="shared" si="352"/>
        <v>0</v>
      </c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21">
        <f t="shared" si="353"/>
        <v>0</v>
      </c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1">
        <f t="shared" si="354"/>
        <v>0</v>
      </c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21">
        <f t="shared" si="355"/>
        <v>0</v>
      </c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21">
        <f t="shared" si="356"/>
        <v>0</v>
      </c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1">
        <f t="shared" si="357"/>
        <v>0</v>
      </c>
    </row>
    <row r="36" spans="3:143" ht="16.5">
      <c r="C36" s="14" t="s">
        <v>12</v>
      </c>
      <c r="E36" s="20">
        <f t="shared" ref="E36:Q36" ca="1" si="360">SUM(INDIRECT(ADDRESS(expenses_min_row,COLUMN())&amp;":"&amp;ADDRESS(expenses_max_row,COLUMN())))</f>
        <v>2900</v>
      </c>
      <c r="F36" s="20">
        <f t="shared" ca="1" si="360"/>
        <v>2900</v>
      </c>
      <c r="G36" s="20">
        <f t="shared" ca="1" si="360"/>
        <v>3050</v>
      </c>
      <c r="H36" s="20">
        <f t="shared" ca="1" si="360"/>
        <v>3800</v>
      </c>
      <c r="I36" s="20">
        <f t="shared" ca="1" si="360"/>
        <v>2900</v>
      </c>
      <c r="J36" s="20">
        <f t="shared" ca="1" si="360"/>
        <v>3050</v>
      </c>
      <c r="K36" s="20">
        <f t="shared" ca="1" si="360"/>
        <v>2900</v>
      </c>
      <c r="L36" s="20">
        <f t="shared" ca="1" si="360"/>
        <v>4100</v>
      </c>
      <c r="M36" s="20">
        <f t="shared" ca="1" si="360"/>
        <v>3050</v>
      </c>
      <c r="N36" s="20">
        <f t="shared" ca="1" si="360"/>
        <v>2900</v>
      </c>
      <c r="O36" s="20">
        <f t="shared" ca="1" si="360"/>
        <v>2900</v>
      </c>
      <c r="P36" s="20">
        <f t="shared" ca="1" si="360"/>
        <v>3350</v>
      </c>
      <c r="Q36" s="20">
        <f t="shared" ca="1" si="360"/>
        <v>37800</v>
      </c>
      <c r="S36" s="20">
        <f t="shared" ref="S36:AE36" ca="1" si="361">SUM(INDIRECT(ADDRESS(expenses_min_row,COLUMN())&amp;":"&amp;ADDRESS(expenses_max_row,COLUMN())))</f>
        <v>0</v>
      </c>
      <c r="T36" s="20">
        <f t="shared" ca="1" si="361"/>
        <v>0</v>
      </c>
      <c r="U36" s="20">
        <f t="shared" ca="1" si="361"/>
        <v>0</v>
      </c>
      <c r="V36" s="20">
        <f t="shared" ca="1" si="361"/>
        <v>0</v>
      </c>
      <c r="W36" s="20">
        <f t="shared" ca="1" si="361"/>
        <v>0</v>
      </c>
      <c r="X36" s="20">
        <f t="shared" ca="1" si="361"/>
        <v>0</v>
      </c>
      <c r="Y36" s="20">
        <f t="shared" ca="1" si="361"/>
        <v>0</v>
      </c>
      <c r="Z36" s="20">
        <f t="shared" ca="1" si="361"/>
        <v>0</v>
      </c>
      <c r="AA36" s="20">
        <f t="shared" ca="1" si="361"/>
        <v>0</v>
      </c>
      <c r="AB36" s="20">
        <f t="shared" ca="1" si="361"/>
        <v>0</v>
      </c>
      <c r="AC36" s="20">
        <f t="shared" ca="1" si="361"/>
        <v>0</v>
      </c>
      <c r="AD36" s="20">
        <f t="shared" ca="1" si="361"/>
        <v>0</v>
      </c>
      <c r="AE36" s="20">
        <f t="shared" ca="1" si="361"/>
        <v>0</v>
      </c>
      <c r="AG36" s="20">
        <f t="shared" ref="AG36:AS36" ca="1" si="362">SUM(INDIRECT(ADDRESS(expenses_min_row,COLUMN())&amp;":"&amp;ADDRESS(expenses_max_row,COLUMN())))</f>
        <v>0</v>
      </c>
      <c r="AH36" s="20">
        <f t="shared" ca="1" si="362"/>
        <v>0</v>
      </c>
      <c r="AI36" s="20">
        <f t="shared" ca="1" si="362"/>
        <v>0</v>
      </c>
      <c r="AJ36" s="20">
        <f t="shared" ca="1" si="362"/>
        <v>0</v>
      </c>
      <c r="AK36" s="20">
        <f t="shared" ca="1" si="362"/>
        <v>0</v>
      </c>
      <c r="AL36" s="20">
        <f t="shared" ca="1" si="362"/>
        <v>0</v>
      </c>
      <c r="AM36" s="20">
        <f t="shared" ca="1" si="362"/>
        <v>0</v>
      </c>
      <c r="AN36" s="20">
        <f t="shared" ca="1" si="362"/>
        <v>0</v>
      </c>
      <c r="AO36" s="20">
        <f t="shared" ca="1" si="362"/>
        <v>0</v>
      </c>
      <c r="AP36" s="20">
        <f t="shared" ca="1" si="362"/>
        <v>0</v>
      </c>
      <c r="AQ36" s="20">
        <f t="shared" ca="1" si="362"/>
        <v>0</v>
      </c>
      <c r="AR36" s="20">
        <f t="shared" ca="1" si="362"/>
        <v>0</v>
      </c>
      <c r="AS36" s="20">
        <f t="shared" ca="1" si="362"/>
        <v>0</v>
      </c>
      <c r="AU36" s="20">
        <f t="shared" ref="AU36:BG36" ca="1" si="363">SUM(INDIRECT(ADDRESS(expenses_min_row,COLUMN())&amp;":"&amp;ADDRESS(expenses_max_row,COLUMN())))</f>
        <v>0</v>
      </c>
      <c r="AV36" s="20">
        <f t="shared" ca="1" si="363"/>
        <v>0</v>
      </c>
      <c r="AW36" s="20">
        <f t="shared" ca="1" si="363"/>
        <v>0</v>
      </c>
      <c r="AX36" s="20">
        <f t="shared" ca="1" si="363"/>
        <v>0</v>
      </c>
      <c r="AY36" s="20">
        <f t="shared" ca="1" si="363"/>
        <v>0</v>
      </c>
      <c r="AZ36" s="20">
        <f t="shared" ca="1" si="363"/>
        <v>0</v>
      </c>
      <c r="BA36" s="20">
        <f t="shared" ca="1" si="363"/>
        <v>0</v>
      </c>
      <c r="BB36" s="20">
        <f t="shared" ca="1" si="363"/>
        <v>0</v>
      </c>
      <c r="BC36" s="20">
        <f t="shared" ca="1" si="363"/>
        <v>0</v>
      </c>
      <c r="BD36" s="20">
        <f t="shared" ca="1" si="363"/>
        <v>0</v>
      </c>
      <c r="BE36" s="20">
        <f t="shared" ca="1" si="363"/>
        <v>0</v>
      </c>
      <c r="BF36" s="20">
        <f t="shared" ca="1" si="363"/>
        <v>0</v>
      </c>
      <c r="BG36" s="20">
        <f t="shared" ca="1" si="363"/>
        <v>0</v>
      </c>
      <c r="BI36" s="20">
        <f t="shared" ref="BI36:BU36" ca="1" si="364">SUM(INDIRECT(ADDRESS(expenses_min_row,COLUMN())&amp;":"&amp;ADDRESS(expenses_max_row,COLUMN())))</f>
        <v>0</v>
      </c>
      <c r="BJ36" s="20">
        <f t="shared" ca="1" si="364"/>
        <v>0</v>
      </c>
      <c r="BK36" s="20">
        <f t="shared" ca="1" si="364"/>
        <v>0</v>
      </c>
      <c r="BL36" s="20">
        <f t="shared" ca="1" si="364"/>
        <v>0</v>
      </c>
      <c r="BM36" s="20">
        <f t="shared" ca="1" si="364"/>
        <v>0</v>
      </c>
      <c r="BN36" s="20">
        <f t="shared" ca="1" si="364"/>
        <v>0</v>
      </c>
      <c r="BO36" s="20">
        <f t="shared" ca="1" si="364"/>
        <v>0</v>
      </c>
      <c r="BP36" s="20">
        <f t="shared" ca="1" si="364"/>
        <v>0</v>
      </c>
      <c r="BQ36" s="20">
        <f t="shared" ca="1" si="364"/>
        <v>0</v>
      </c>
      <c r="BR36" s="20">
        <f t="shared" ca="1" si="364"/>
        <v>0</v>
      </c>
      <c r="BS36" s="20">
        <f t="shared" ca="1" si="364"/>
        <v>0</v>
      </c>
      <c r="BT36" s="20">
        <f t="shared" ca="1" si="364"/>
        <v>0</v>
      </c>
      <c r="BU36" s="20">
        <f t="shared" ca="1" si="364"/>
        <v>0</v>
      </c>
      <c r="BW36" s="20">
        <f t="shared" ref="BW36:CI36" ca="1" si="365">SUM(INDIRECT(ADDRESS(expenses_min_row,COLUMN())&amp;":"&amp;ADDRESS(expenses_max_row,COLUMN())))</f>
        <v>0</v>
      </c>
      <c r="BX36" s="20">
        <f t="shared" ca="1" si="365"/>
        <v>0</v>
      </c>
      <c r="BY36" s="20">
        <f t="shared" ca="1" si="365"/>
        <v>0</v>
      </c>
      <c r="BZ36" s="20">
        <f t="shared" ca="1" si="365"/>
        <v>0</v>
      </c>
      <c r="CA36" s="20">
        <f t="shared" ca="1" si="365"/>
        <v>0</v>
      </c>
      <c r="CB36" s="20">
        <f t="shared" ca="1" si="365"/>
        <v>0</v>
      </c>
      <c r="CC36" s="20">
        <f t="shared" ca="1" si="365"/>
        <v>0</v>
      </c>
      <c r="CD36" s="20">
        <f t="shared" ca="1" si="365"/>
        <v>0</v>
      </c>
      <c r="CE36" s="20">
        <f t="shared" ca="1" si="365"/>
        <v>0</v>
      </c>
      <c r="CF36" s="20">
        <f t="shared" ca="1" si="365"/>
        <v>0</v>
      </c>
      <c r="CG36" s="20">
        <f t="shared" ca="1" si="365"/>
        <v>0</v>
      </c>
      <c r="CH36" s="20">
        <f t="shared" ca="1" si="365"/>
        <v>0</v>
      </c>
      <c r="CI36" s="20">
        <f t="shared" ca="1" si="365"/>
        <v>0</v>
      </c>
      <c r="CK36" s="20">
        <f t="shared" ref="CK36:CW36" ca="1" si="366">SUM(INDIRECT(ADDRESS(expenses_min_row,COLUMN())&amp;":"&amp;ADDRESS(expenses_max_row,COLUMN())))</f>
        <v>0</v>
      </c>
      <c r="CL36" s="20">
        <f t="shared" ca="1" si="366"/>
        <v>0</v>
      </c>
      <c r="CM36" s="20">
        <f t="shared" ca="1" si="366"/>
        <v>0</v>
      </c>
      <c r="CN36" s="20">
        <f t="shared" ca="1" si="366"/>
        <v>0</v>
      </c>
      <c r="CO36" s="20">
        <f t="shared" ca="1" si="366"/>
        <v>0</v>
      </c>
      <c r="CP36" s="20">
        <f t="shared" ca="1" si="366"/>
        <v>0</v>
      </c>
      <c r="CQ36" s="20">
        <f t="shared" ca="1" si="366"/>
        <v>0</v>
      </c>
      <c r="CR36" s="20">
        <f t="shared" ca="1" si="366"/>
        <v>0</v>
      </c>
      <c r="CS36" s="20">
        <f t="shared" ca="1" si="366"/>
        <v>0</v>
      </c>
      <c r="CT36" s="20">
        <f t="shared" ca="1" si="366"/>
        <v>0</v>
      </c>
      <c r="CU36" s="20">
        <f t="shared" ca="1" si="366"/>
        <v>0</v>
      </c>
      <c r="CV36" s="20">
        <f t="shared" ca="1" si="366"/>
        <v>0</v>
      </c>
      <c r="CW36" s="20">
        <f t="shared" ca="1" si="366"/>
        <v>0</v>
      </c>
      <c r="CY36" s="20">
        <f t="shared" ref="CY36:DK36" ca="1" si="367">SUM(INDIRECT(ADDRESS(expenses_min_row,COLUMN())&amp;":"&amp;ADDRESS(expenses_max_row,COLUMN())))</f>
        <v>0</v>
      </c>
      <c r="CZ36" s="20">
        <f t="shared" ca="1" si="367"/>
        <v>0</v>
      </c>
      <c r="DA36" s="20">
        <f t="shared" ca="1" si="367"/>
        <v>0</v>
      </c>
      <c r="DB36" s="20">
        <f t="shared" ca="1" si="367"/>
        <v>0</v>
      </c>
      <c r="DC36" s="20">
        <f t="shared" ca="1" si="367"/>
        <v>0</v>
      </c>
      <c r="DD36" s="20">
        <f t="shared" ca="1" si="367"/>
        <v>0</v>
      </c>
      <c r="DE36" s="20">
        <f t="shared" ca="1" si="367"/>
        <v>0</v>
      </c>
      <c r="DF36" s="20">
        <f t="shared" ca="1" si="367"/>
        <v>0</v>
      </c>
      <c r="DG36" s="20">
        <f t="shared" ca="1" si="367"/>
        <v>0</v>
      </c>
      <c r="DH36" s="20">
        <f t="shared" ca="1" si="367"/>
        <v>0</v>
      </c>
      <c r="DI36" s="20">
        <f t="shared" ca="1" si="367"/>
        <v>0</v>
      </c>
      <c r="DJ36" s="20">
        <f t="shared" ca="1" si="367"/>
        <v>0</v>
      </c>
      <c r="DK36" s="20">
        <f t="shared" ca="1" si="367"/>
        <v>0</v>
      </c>
      <c r="DM36" s="20">
        <f t="shared" ref="DM36:DY36" ca="1" si="368">SUM(INDIRECT(ADDRESS(expenses_min_row,COLUMN())&amp;":"&amp;ADDRESS(expenses_max_row,COLUMN())))</f>
        <v>0</v>
      </c>
      <c r="DN36" s="20">
        <f t="shared" ca="1" si="368"/>
        <v>0</v>
      </c>
      <c r="DO36" s="20">
        <f t="shared" ca="1" si="368"/>
        <v>0</v>
      </c>
      <c r="DP36" s="20">
        <f t="shared" ca="1" si="368"/>
        <v>0</v>
      </c>
      <c r="DQ36" s="20">
        <f t="shared" ca="1" si="368"/>
        <v>0</v>
      </c>
      <c r="DR36" s="20">
        <f t="shared" ca="1" si="368"/>
        <v>0</v>
      </c>
      <c r="DS36" s="20">
        <f t="shared" ca="1" si="368"/>
        <v>0</v>
      </c>
      <c r="DT36" s="20">
        <f t="shared" ca="1" si="368"/>
        <v>0</v>
      </c>
      <c r="DU36" s="20">
        <f t="shared" ca="1" si="368"/>
        <v>0</v>
      </c>
      <c r="DV36" s="20">
        <f t="shared" ca="1" si="368"/>
        <v>0</v>
      </c>
      <c r="DW36" s="20">
        <f t="shared" ca="1" si="368"/>
        <v>0</v>
      </c>
      <c r="DX36" s="20">
        <f t="shared" ca="1" si="368"/>
        <v>0</v>
      </c>
      <c r="DY36" s="20">
        <f t="shared" ca="1" si="368"/>
        <v>0</v>
      </c>
      <c r="EA36" s="20">
        <f t="shared" ref="EA36:EM36" ca="1" si="369">SUM(INDIRECT(ADDRESS(expenses_min_row,COLUMN())&amp;":"&amp;ADDRESS(expenses_max_row,COLUMN())))</f>
        <v>0</v>
      </c>
      <c r="EB36" s="20">
        <f t="shared" ca="1" si="369"/>
        <v>0</v>
      </c>
      <c r="EC36" s="20">
        <f t="shared" ca="1" si="369"/>
        <v>0</v>
      </c>
      <c r="ED36" s="20">
        <f t="shared" ca="1" si="369"/>
        <v>0</v>
      </c>
      <c r="EE36" s="20">
        <f t="shared" ca="1" si="369"/>
        <v>0</v>
      </c>
      <c r="EF36" s="20">
        <f t="shared" ca="1" si="369"/>
        <v>0</v>
      </c>
      <c r="EG36" s="20">
        <f t="shared" ca="1" si="369"/>
        <v>0</v>
      </c>
      <c r="EH36" s="20">
        <f t="shared" ca="1" si="369"/>
        <v>0</v>
      </c>
      <c r="EI36" s="20">
        <f t="shared" ca="1" si="369"/>
        <v>0</v>
      </c>
      <c r="EJ36" s="20">
        <f t="shared" ca="1" si="369"/>
        <v>0</v>
      </c>
      <c r="EK36" s="20">
        <f t="shared" ca="1" si="369"/>
        <v>0</v>
      </c>
      <c r="EL36" s="20">
        <f t="shared" ca="1" si="369"/>
        <v>0</v>
      </c>
      <c r="EM36" s="20">
        <f t="shared" ca="1" si="369"/>
        <v>0</v>
      </c>
    </row>
    <row r="38" spans="3:143" ht="16.5">
      <c r="C38" s="13" t="s">
        <v>39</v>
      </c>
      <c r="E38" s="24">
        <f>DATE(E$5,1,1)</f>
        <v>44562</v>
      </c>
      <c r="F38" s="24">
        <f>DATE(E$5,2,1)</f>
        <v>44593</v>
      </c>
      <c r="G38" s="24">
        <f>DATE(E$5,3,1)</f>
        <v>44621</v>
      </c>
      <c r="H38" s="24">
        <f>DATE(E$5,4,1)</f>
        <v>44652</v>
      </c>
      <c r="I38" s="24">
        <f>DATE(E$5,5,1)</f>
        <v>44682</v>
      </c>
      <c r="J38" s="24">
        <f>DATE(E$5,6,1)</f>
        <v>44713</v>
      </c>
      <c r="K38" s="24">
        <f>DATE(E$5,7,1)</f>
        <v>44743</v>
      </c>
      <c r="L38" s="24">
        <f>DATE(E$5,8,1)</f>
        <v>44774</v>
      </c>
      <c r="M38" s="24">
        <f>DATE(E$5,9,1)</f>
        <v>44805</v>
      </c>
      <c r="N38" s="24">
        <f>DATE(E$5,10,1)</f>
        <v>44835</v>
      </c>
      <c r="O38" s="24">
        <f>DATE(E$5,11,1)</f>
        <v>44866</v>
      </c>
      <c r="P38" s="24">
        <f>DATE(E$5,12,1)</f>
        <v>44896</v>
      </c>
      <c r="Q38" s="25">
        <f>E$5</f>
        <v>2022</v>
      </c>
      <c r="S38" s="24">
        <f>DATE(S$5,1,1)</f>
        <v>44927</v>
      </c>
      <c r="T38" s="24">
        <f>DATE(S$5,2,1)</f>
        <v>44958</v>
      </c>
      <c r="U38" s="24">
        <f>DATE(S$5,3,1)</f>
        <v>44986</v>
      </c>
      <c r="V38" s="24">
        <f>DATE(S$5,4,1)</f>
        <v>45017</v>
      </c>
      <c r="W38" s="24">
        <f>DATE(S$5,5,1)</f>
        <v>45047</v>
      </c>
      <c r="X38" s="24">
        <f>DATE(S$5,6,1)</f>
        <v>45078</v>
      </c>
      <c r="Y38" s="24">
        <f>DATE(S$5,7,1)</f>
        <v>45108</v>
      </c>
      <c r="Z38" s="24">
        <f>DATE(S$5,8,1)</f>
        <v>45139</v>
      </c>
      <c r="AA38" s="24">
        <f>DATE(S$5,9,1)</f>
        <v>45170</v>
      </c>
      <c r="AB38" s="24">
        <f>DATE(S$5,10,1)</f>
        <v>45200</v>
      </c>
      <c r="AC38" s="24">
        <f>DATE(S$5,11,1)</f>
        <v>45231</v>
      </c>
      <c r="AD38" s="24">
        <f>DATE(S$5,12,1)</f>
        <v>45261</v>
      </c>
      <c r="AE38" s="25">
        <f>S$5</f>
        <v>2023</v>
      </c>
      <c r="AG38" s="24">
        <f t="shared" ref="AG38" si="370">DATE(AG$5,1,1)</f>
        <v>45292</v>
      </c>
      <c r="AH38" s="24">
        <f t="shared" ref="AH38" si="371">DATE(AG$5,2,1)</f>
        <v>45323</v>
      </c>
      <c r="AI38" s="24">
        <f t="shared" ref="AI38" si="372">DATE(AG$5,3,1)</f>
        <v>45352</v>
      </c>
      <c r="AJ38" s="24">
        <f t="shared" ref="AJ38" si="373">DATE(AG$5,4,1)</f>
        <v>45383</v>
      </c>
      <c r="AK38" s="24">
        <f t="shared" ref="AK38" si="374">DATE(AG$5,5,1)</f>
        <v>45413</v>
      </c>
      <c r="AL38" s="24">
        <f t="shared" ref="AL38" si="375">DATE(AG$5,6,1)</f>
        <v>45444</v>
      </c>
      <c r="AM38" s="24">
        <f t="shared" ref="AM38" si="376">DATE(AG$5,7,1)</f>
        <v>45474</v>
      </c>
      <c r="AN38" s="24">
        <f t="shared" ref="AN38" si="377">DATE(AG$5,8,1)</f>
        <v>45505</v>
      </c>
      <c r="AO38" s="24">
        <f t="shared" ref="AO38" si="378">DATE(AG$5,9,1)</f>
        <v>45536</v>
      </c>
      <c r="AP38" s="24">
        <f t="shared" ref="AP38" si="379">DATE(AG$5,10,1)</f>
        <v>45566</v>
      </c>
      <c r="AQ38" s="24">
        <f t="shared" ref="AQ38" si="380">DATE(AG$5,11,1)</f>
        <v>45597</v>
      </c>
      <c r="AR38" s="24">
        <f t="shared" ref="AR38" si="381">DATE(AG$5,12,1)</f>
        <v>45627</v>
      </c>
      <c r="AS38" s="25">
        <f t="shared" ref="AS38" si="382">AG$5</f>
        <v>2024</v>
      </c>
      <c r="AU38" s="24">
        <f t="shared" ref="AU38" si="383">DATE(AU$5,1,1)</f>
        <v>45658</v>
      </c>
      <c r="AV38" s="24">
        <f t="shared" ref="AV38" si="384">DATE(AU$5,2,1)</f>
        <v>45689</v>
      </c>
      <c r="AW38" s="24">
        <f t="shared" ref="AW38" si="385">DATE(AU$5,3,1)</f>
        <v>45717</v>
      </c>
      <c r="AX38" s="24">
        <f t="shared" ref="AX38" si="386">DATE(AU$5,4,1)</f>
        <v>45748</v>
      </c>
      <c r="AY38" s="24">
        <f t="shared" ref="AY38" si="387">DATE(AU$5,5,1)</f>
        <v>45778</v>
      </c>
      <c r="AZ38" s="24">
        <f t="shared" ref="AZ38" si="388">DATE(AU$5,6,1)</f>
        <v>45809</v>
      </c>
      <c r="BA38" s="24">
        <f t="shared" ref="BA38" si="389">DATE(AU$5,7,1)</f>
        <v>45839</v>
      </c>
      <c r="BB38" s="24">
        <f t="shared" ref="BB38" si="390">DATE(AU$5,8,1)</f>
        <v>45870</v>
      </c>
      <c r="BC38" s="24">
        <f t="shared" ref="BC38" si="391">DATE(AU$5,9,1)</f>
        <v>45901</v>
      </c>
      <c r="BD38" s="24">
        <f t="shared" ref="BD38" si="392">DATE(AU$5,10,1)</f>
        <v>45931</v>
      </c>
      <c r="BE38" s="24">
        <f t="shared" ref="BE38" si="393">DATE(AU$5,11,1)</f>
        <v>45962</v>
      </c>
      <c r="BF38" s="24">
        <f t="shared" ref="BF38" si="394">DATE(AU$5,12,1)</f>
        <v>45992</v>
      </c>
      <c r="BG38" s="25">
        <f t="shared" ref="BG38" si="395">AU$5</f>
        <v>2025</v>
      </c>
      <c r="BI38" s="24">
        <f t="shared" ref="BI38" si="396">DATE(BI$5,1,1)</f>
        <v>46023</v>
      </c>
      <c r="BJ38" s="24">
        <f t="shared" ref="BJ38" si="397">DATE(BI$5,2,1)</f>
        <v>46054</v>
      </c>
      <c r="BK38" s="24">
        <f t="shared" ref="BK38" si="398">DATE(BI$5,3,1)</f>
        <v>46082</v>
      </c>
      <c r="BL38" s="24">
        <f t="shared" ref="BL38" si="399">DATE(BI$5,4,1)</f>
        <v>46113</v>
      </c>
      <c r="BM38" s="24">
        <f t="shared" ref="BM38" si="400">DATE(BI$5,5,1)</f>
        <v>46143</v>
      </c>
      <c r="BN38" s="24">
        <f t="shared" ref="BN38" si="401">DATE(BI$5,6,1)</f>
        <v>46174</v>
      </c>
      <c r="BO38" s="24">
        <f t="shared" ref="BO38" si="402">DATE(BI$5,7,1)</f>
        <v>46204</v>
      </c>
      <c r="BP38" s="24">
        <f t="shared" ref="BP38" si="403">DATE(BI$5,8,1)</f>
        <v>46235</v>
      </c>
      <c r="BQ38" s="24">
        <f t="shared" ref="BQ38" si="404">DATE(BI$5,9,1)</f>
        <v>46266</v>
      </c>
      <c r="BR38" s="24">
        <f t="shared" ref="BR38" si="405">DATE(BI$5,10,1)</f>
        <v>46296</v>
      </c>
      <c r="BS38" s="24">
        <f t="shared" ref="BS38" si="406">DATE(BI$5,11,1)</f>
        <v>46327</v>
      </c>
      <c r="BT38" s="24">
        <f t="shared" ref="BT38" si="407">DATE(BI$5,12,1)</f>
        <v>46357</v>
      </c>
      <c r="BU38" s="25">
        <f t="shared" ref="BU38" si="408">BI$5</f>
        <v>2026</v>
      </c>
      <c r="BW38" s="24">
        <f t="shared" ref="BW38" si="409">DATE(BW$5,1,1)</f>
        <v>46388</v>
      </c>
      <c r="BX38" s="24">
        <f t="shared" ref="BX38" si="410">DATE(BW$5,2,1)</f>
        <v>46419</v>
      </c>
      <c r="BY38" s="24">
        <f t="shared" ref="BY38" si="411">DATE(BW$5,3,1)</f>
        <v>46447</v>
      </c>
      <c r="BZ38" s="24">
        <f t="shared" ref="BZ38" si="412">DATE(BW$5,4,1)</f>
        <v>46478</v>
      </c>
      <c r="CA38" s="24">
        <f t="shared" ref="CA38" si="413">DATE(BW$5,5,1)</f>
        <v>46508</v>
      </c>
      <c r="CB38" s="24">
        <f t="shared" ref="CB38" si="414">DATE(BW$5,6,1)</f>
        <v>46539</v>
      </c>
      <c r="CC38" s="24">
        <f t="shared" ref="CC38" si="415">DATE(BW$5,7,1)</f>
        <v>46569</v>
      </c>
      <c r="CD38" s="24">
        <f t="shared" ref="CD38" si="416">DATE(BW$5,8,1)</f>
        <v>46600</v>
      </c>
      <c r="CE38" s="24">
        <f t="shared" ref="CE38" si="417">DATE(BW$5,9,1)</f>
        <v>46631</v>
      </c>
      <c r="CF38" s="24">
        <f t="shared" ref="CF38" si="418">DATE(BW$5,10,1)</f>
        <v>46661</v>
      </c>
      <c r="CG38" s="24">
        <f t="shared" ref="CG38" si="419">DATE(BW$5,11,1)</f>
        <v>46692</v>
      </c>
      <c r="CH38" s="24">
        <f t="shared" ref="CH38" si="420">DATE(BW$5,12,1)</f>
        <v>46722</v>
      </c>
      <c r="CI38" s="25">
        <f t="shared" ref="CI38" si="421">BW$5</f>
        <v>2027</v>
      </c>
      <c r="CK38" s="24">
        <f t="shared" ref="CK38" si="422">DATE(CK$5,1,1)</f>
        <v>46753</v>
      </c>
      <c r="CL38" s="24">
        <f t="shared" ref="CL38" si="423">DATE(CK$5,2,1)</f>
        <v>46784</v>
      </c>
      <c r="CM38" s="24">
        <f t="shared" ref="CM38" si="424">DATE(CK$5,3,1)</f>
        <v>46813</v>
      </c>
      <c r="CN38" s="24">
        <f t="shared" ref="CN38" si="425">DATE(CK$5,4,1)</f>
        <v>46844</v>
      </c>
      <c r="CO38" s="24">
        <f t="shared" ref="CO38" si="426">DATE(CK$5,5,1)</f>
        <v>46874</v>
      </c>
      <c r="CP38" s="24">
        <f t="shared" ref="CP38" si="427">DATE(CK$5,6,1)</f>
        <v>46905</v>
      </c>
      <c r="CQ38" s="24">
        <f t="shared" ref="CQ38" si="428">DATE(CK$5,7,1)</f>
        <v>46935</v>
      </c>
      <c r="CR38" s="24">
        <f t="shared" ref="CR38" si="429">DATE(CK$5,8,1)</f>
        <v>46966</v>
      </c>
      <c r="CS38" s="24">
        <f t="shared" ref="CS38" si="430">DATE(CK$5,9,1)</f>
        <v>46997</v>
      </c>
      <c r="CT38" s="24">
        <f t="shared" ref="CT38" si="431">DATE(CK$5,10,1)</f>
        <v>47027</v>
      </c>
      <c r="CU38" s="24">
        <f t="shared" ref="CU38" si="432">DATE(CK$5,11,1)</f>
        <v>47058</v>
      </c>
      <c r="CV38" s="24">
        <f t="shared" ref="CV38" si="433">DATE(CK$5,12,1)</f>
        <v>47088</v>
      </c>
      <c r="CW38" s="25">
        <f t="shared" ref="CW38" si="434">CK$5</f>
        <v>2028</v>
      </c>
      <c r="CY38" s="24">
        <f t="shared" ref="CY38" si="435">DATE(CY$5,1,1)</f>
        <v>47119</v>
      </c>
      <c r="CZ38" s="24">
        <f t="shared" ref="CZ38" si="436">DATE(CY$5,2,1)</f>
        <v>47150</v>
      </c>
      <c r="DA38" s="24">
        <f t="shared" ref="DA38" si="437">DATE(CY$5,3,1)</f>
        <v>47178</v>
      </c>
      <c r="DB38" s="24">
        <f t="shared" ref="DB38" si="438">DATE(CY$5,4,1)</f>
        <v>47209</v>
      </c>
      <c r="DC38" s="24">
        <f t="shared" ref="DC38" si="439">DATE(CY$5,5,1)</f>
        <v>47239</v>
      </c>
      <c r="DD38" s="24">
        <f t="shared" ref="DD38" si="440">DATE(CY$5,6,1)</f>
        <v>47270</v>
      </c>
      <c r="DE38" s="24">
        <f t="shared" ref="DE38" si="441">DATE(CY$5,7,1)</f>
        <v>47300</v>
      </c>
      <c r="DF38" s="24">
        <f t="shared" ref="DF38" si="442">DATE(CY$5,8,1)</f>
        <v>47331</v>
      </c>
      <c r="DG38" s="24">
        <f t="shared" ref="DG38" si="443">DATE(CY$5,9,1)</f>
        <v>47362</v>
      </c>
      <c r="DH38" s="24">
        <f t="shared" ref="DH38" si="444">DATE(CY$5,10,1)</f>
        <v>47392</v>
      </c>
      <c r="DI38" s="24">
        <f t="shared" ref="DI38" si="445">DATE(CY$5,11,1)</f>
        <v>47423</v>
      </c>
      <c r="DJ38" s="24">
        <f t="shared" ref="DJ38" si="446">DATE(CY$5,12,1)</f>
        <v>47453</v>
      </c>
      <c r="DK38" s="25">
        <f t="shared" ref="DK38" si="447">CY$5</f>
        <v>2029</v>
      </c>
      <c r="DM38" s="24">
        <f t="shared" ref="DM38" si="448">DATE(DM$5,1,1)</f>
        <v>47484</v>
      </c>
      <c r="DN38" s="24">
        <f t="shared" ref="DN38" si="449">DATE(DM$5,2,1)</f>
        <v>47515</v>
      </c>
      <c r="DO38" s="24">
        <f t="shared" ref="DO38" si="450">DATE(DM$5,3,1)</f>
        <v>47543</v>
      </c>
      <c r="DP38" s="24">
        <f t="shared" ref="DP38" si="451">DATE(DM$5,4,1)</f>
        <v>47574</v>
      </c>
      <c r="DQ38" s="24">
        <f t="shared" ref="DQ38" si="452">DATE(DM$5,5,1)</f>
        <v>47604</v>
      </c>
      <c r="DR38" s="24">
        <f t="shared" ref="DR38" si="453">DATE(DM$5,6,1)</f>
        <v>47635</v>
      </c>
      <c r="DS38" s="24">
        <f t="shared" ref="DS38" si="454">DATE(DM$5,7,1)</f>
        <v>47665</v>
      </c>
      <c r="DT38" s="24">
        <f t="shared" ref="DT38" si="455">DATE(DM$5,8,1)</f>
        <v>47696</v>
      </c>
      <c r="DU38" s="24">
        <f t="shared" ref="DU38" si="456">DATE(DM$5,9,1)</f>
        <v>47727</v>
      </c>
      <c r="DV38" s="24">
        <f t="shared" ref="DV38" si="457">DATE(DM$5,10,1)</f>
        <v>47757</v>
      </c>
      <c r="DW38" s="24">
        <f t="shared" ref="DW38" si="458">DATE(DM$5,11,1)</f>
        <v>47788</v>
      </c>
      <c r="DX38" s="24">
        <f t="shared" ref="DX38" si="459">DATE(DM$5,12,1)</f>
        <v>47818</v>
      </c>
      <c r="DY38" s="25">
        <f t="shared" ref="DY38" si="460">DM$5</f>
        <v>2030</v>
      </c>
      <c r="EA38" s="24">
        <f t="shared" ref="EA38" si="461">DATE(EA$5,1,1)</f>
        <v>47849</v>
      </c>
      <c r="EB38" s="24">
        <f t="shared" ref="EB38" si="462">DATE(EA$5,2,1)</f>
        <v>47880</v>
      </c>
      <c r="EC38" s="24">
        <f t="shared" ref="EC38" si="463">DATE(EA$5,3,1)</f>
        <v>47908</v>
      </c>
      <c r="ED38" s="24">
        <f t="shared" ref="ED38" si="464">DATE(EA$5,4,1)</f>
        <v>47939</v>
      </c>
      <c r="EE38" s="24">
        <f t="shared" ref="EE38" si="465">DATE(EA$5,5,1)</f>
        <v>47969</v>
      </c>
      <c r="EF38" s="24">
        <f t="shared" ref="EF38" si="466">DATE(EA$5,6,1)</f>
        <v>48000</v>
      </c>
      <c r="EG38" s="24">
        <f t="shared" ref="EG38" si="467">DATE(EA$5,7,1)</f>
        <v>48030</v>
      </c>
      <c r="EH38" s="24">
        <f t="shared" ref="EH38" si="468">DATE(EA$5,8,1)</f>
        <v>48061</v>
      </c>
      <c r="EI38" s="24">
        <f t="shared" ref="EI38" si="469">DATE(EA$5,9,1)</f>
        <v>48092</v>
      </c>
      <c r="EJ38" s="24">
        <f t="shared" ref="EJ38" si="470">DATE(EA$5,10,1)</f>
        <v>48122</v>
      </c>
      <c r="EK38" s="24">
        <f t="shared" ref="EK38" si="471">DATE(EA$5,11,1)</f>
        <v>48153</v>
      </c>
      <c r="EL38" s="24">
        <f t="shared" ref="EL38" si="472">DATE(EA$5,12,1)</f>
        <v>48183</v>
      </c>
      <c r="EM38" s="25">
        <f t="shared" ref="EM38" si="473">EA$5</f>
        <v>2031</v>
      </c>
    </row>
    <row r="39" spans="3:143">
      <c r="C39" s="18" t="s">
        <v>20</v>
      </c>
      <c r="E39" s="19">
        <v>1000</v>
      </c>
      <c r="F39" s="19">
        <v>1000</v>
      </c>
      <c r="G39" s="19">
        <v>1000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21">
        <f>SUM(E39:P39)</f>
        <v>3000</v>
      </c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21">
        <f>SUM(S39:AD39)</f>
        <v>0</v>
      </c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21">
        <f t="shared" ref="AS39:AS48" si="474">SUM(AG39:AR39)</f>
        <v>0</v>
      </c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21">
        <f t="shared" ref="BG39:BG48" si="475">SUM(AU39:BF39)</f>
        <v>0</v>
      </c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21">
        <f t="shared" ref="BU39:BU48" si="476">SUM(BI39:BT39)</f>
        <v>0</v>
      </c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21">
        <f t="shared" ref="CI39:CI48" si="477">SUM(BW39:CH39)</f>
        <v>0</v>
      </c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1">
        <f t="shared" ref="CW39:CW48" si="478">SUM(CK39:CV39)</f>
        <v>0</v>
      </c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21">
        <f t="shared" ref="DK39:DK48" si="479">SUM(CY39:DJ39)</f>
        <v>0</v>
      </c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21">
        <f t="shared" ref="DY39:DY48" si="480">SUM(DM39:DX39)</f>
        <v>0</v>
      </c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21">
        <f t="shared" ref="EM39:EM48" si="481">SUM(EA39:EL39)</f>
        <v>0</v>
      </c>
    </row>
    <row r="40" spans="3:143">
      <c r="C40" s="18" t="s">
        <v>21</v>
      </c>
      <c r="E40" s="19">
        <v>400</v>
      </c>
      <c r="F40" s="19">
        <v>400</v>
      </c>
      <c r="G40" s="19">
        <v>400</v>
      </c>
      <c r="H40" s="19">
        <v>400</v>
      </c>
      <c r="I40" s="19">
        <v>400</v>
      </c>
      <c r="J40" s="19">
        <v>400</v>
      </c>
      <c r="K40" s="19">
        <v>400</v>
      </c>
      <c r="L40" s="19">
        <v>400</v>
      </c>
      <c r="M40" s="19">
        <v>400</v>
      </c>
      <c r="N40" s="19">
        <v>400</v>
      </c>
      <c r="O40" s="19">
        <v>400</v>
      </c>
      <c r="P40" s="19">
        <v>400</v>
      </c>
      <c r="Q40" s="21">
        <f t="shared" ref="Q40:Q48" si="482">SUM(E40:P40)</f>
        <v>4800</v>
      </c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21">
        <f t="shared" ref="AE40:AE48" si="483">SUM(S40:AD40)</f>
        <v>0</v>
      </c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21">
        <f t="shared" si="474"/>
        <v>0</v>
      </c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21">
        <f t="shared" si="475"/>
        <v>0</v>
      </c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21">
        <f t="shared" si="476"/>
        <v>0</v>
      </c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21">
        <f t="shared" si="477"/>
        <v>0</v>
      </c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1">
        <f t="shared" si="478"/>
        <v>0</v>
      </c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21">
        <f t="shared" si="479"/>
        <v>0</v>
      </c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21">
        <f t="shared" si="480"/>
        <v>0</v>
      </c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21">
        <f t="shared" si="481"/>
        <v>0</v>
      </c>
    </row>
    <row r="41" spans="3:143">
      <c r="C41" s="18" t="s">
        <v>22</v>
      </c>
      <c r="E41" s="19">
        <v>150</v>
      </c>
      <c r="F41" s="19">
        <v>150</v>
      </c>
      <c r="G41" s="19">
        <v>150</v>
      </c>
      <c r="H41" s="19">
        <v>750</v>
      </c>
      <c r="I41" s="19">
        <v>750</v>
      </c>
      <c r="J41" s="19">
        <v>750</v>
      </c>
      <c r="K41" s="19">
        <v>750</v>
      </c>
      <c r="L41" s="19">
        <v>750</v>
      </c>
      <c r="M41" s="19">
        <v>750</v>
      </c>
      <c r="N41" s="19">
        <v>750</v>
      </c>
      <c r="O41" s="19">
        <v>750</v>
      </c>
      <c r="P41" s="19">
        <v>750</v>
      </c>
      <c r="Q41" s="21">
        <f t="shared" si="482"/>
        <v>7200</v>
      </c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21">
        <f t="shared" si="483"/>
        <v>0</v>
      </c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21">
        <f t="shared" si="474"/>
        <v>0</v>
      </c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21">
        <f t="shared" si="475"/>
        <v>0</v>
      </c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21">
        <f t="shared" si="476"/>
        <v>0</v>
      </c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21">
        <f t="shared" si="477"/>
        <v>0</v>
      </c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1">
        <f t="shared" si="478"/>
        <v>0</v>
      </c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21">
        <f t="shared" si="479"/>
        <v>0</v>
      </c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21">
        <f t="shared" si="480"/>
        <v>0</v>
      </c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21">
        <f t="shared" si="481"/>
        <v>0</v>
      </c>
    </row>
    <row r="42" spans="3:143">
      <c r="C42" s="18" t="s">
        <v>31</v>
      </c>
      <c r="E42" s="19">
        <v>0</v>
      </c>
      <c r="F42" s="19">
        <v>0</v>
      </c>
      <c r="G42" s="19">
        <v>0</v>
      </c>
      <c r="H42" s="19">
        <v>600</v>
      </c>
      <c r="I42" s="19">
        <v>1400</v>
      </c>
      <c r="J42" s="19">
        <v>1300</v>
      </c>
      <c r="K42" s="19">
        <v>1500</v>
      </c>
      <c r="L42" s="19">
        <v>200</v>
      </c>
      <c r="M42" s="19">
        <v>1300</v>
      </c>
      <c r="N42" s="19">
        <v>1500</v>
      </c>
      <c r="O42" s="19">
        <v>1400</v>
      </c>
      <c r="P42" s="19">
        <v>1000</v>
      </c>
      <c r="Q42" s="21">
        <f t="shared" si="482"/>
        <v>10200</v>
      </c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21">
        <f t="shared" si="483"/>
        <v>0</v>
      </c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21">
        <f t="shared" si="474"/>
        <v>0</v>
      </c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21">
        <f t="shared" si="475"/>
        <v>0</v>
      </c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21">
        <f t="shared" si="476"/>
        <v>0</v>
      </c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21">
        <f t="shared" si="477"/>
        <v>0</v>
      </c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21">
        <f t="shared" si="478"/>
        <v>0</v>
      </c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21">
        <f t="shared" si="479"/>
        <v>0</v>
      </c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21">
        <f t="shared" si="480"/>
        <v>0</v>
      </c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1">
        <f t="shared" si="481"/>
        <v>0</v>
      </c>
    </row>
    <row r="43" spans="3:143">
      <c r="C43" s="18" t="s">
        <v>32</v>
      </c>
      <c r="E43" s="19">
        <v>200</v>
      </c>
      <c r="F43" s="19">
        <v>100</v>
      </c>
      <c r="G43" s="19">
        <v>0</v>
      </c>
      <c r="H43" s="19">
        <v>100</v>
      </c>
      <c r="I43" s="19">
        <v>100</v>
      </c>
      <c r="J43" s="19">
        <v>100</v>
      </c>
      <c r="K43" s="19">
        <v>100</v>
      </c>
      <c r="L43" s="19">
        <v>100</v>
      </c>
      <c r="M43" s="19">
        <v>100</v>
      </c>
      <c r="N43" s="19">
        <v>100</v>
      </c>
      <c r="O43" s="19">
        <v>100</v>
      </c>
      <c r="P43" s="19">
        <v>100</v>
      </c>
      <c r="Q43" s="21">
        <f t="shared" si="482"/>
        <v>1200</v>
      </c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21">
        <f t="shared" si="483"/>
        <v>0</v>
      </c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21">
        <f t="shared" si="474"/>
        <v>0</v>
      </c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21">
        <f t="shared" si="475"/>
        <v>0</v>
      </c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21">
        <f t="shared" si="476"/>
        <v>0</v>
      </c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21">
        <f t="shared" si="477"/>
        <v>0</v>
      </c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21">
        <f t="shared" si="478"/>
        <v>0</v>
      </c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21">
        <f t="shared" si="479"/>
        <v>0</v>
      </c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21">
        <f t="shared" si="480"/>
        <v>0</v>
      </c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21">
        <f t="shared" si="481"/>
        <v>0</v>
      </c>
    </row>
    <row r="44" spans="3:143" hidden="1">
      <c r="C44" s="18" t="s">
        <v>23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21">
        <f t="shared" si="482"/>
        <v>0</v>
      </c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21">
        <f t="shared" si="483"/>
        <v>0</v>
      </c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21">
        <f t="shared" si="474"/>
        <v>0</v>
      </c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21">
        <f t="shared" si="475"/>
        <v>0</v>
      </c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21">
        <f t="shared" si="476"/>
        <v>0</v>
      </c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21">
        <f t="shared" si="477"/>
        <v>0</v>
      </c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21">
        <f t="shared" si="478"/>
        <v>0</v>
      </c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21">
        <f t="shared" si="479"/>
        <v>0</v>
      </c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21">
        <f t="shared" si="480"/>
        <v>0</v>
      </c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21">
        <f t="shared" si="481"/>
        <v>0</v>
      </c>
    </row>
    <row r="45" spans="3:143" hidden="1">
      <c r="C45" s="18" t="s">
        <v>23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21">
        <f t="shared" si="482"/>
        <v>0</v>
      </c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21">
        <f t="shared" si="483"/>
        <v>0</v>
      </c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21">
        <f t="shared" si="474"/>
        <v>0</v>
      </c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21">
        <f t="shared" si="475"/>
        <v>0</v>
      </c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21">
        <f t="shared" si="476"/>
        <v>0</v>
      </c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21">
        <f t="shared" si="477"/>
        <v>0</v>
      </c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21">
        <f t="shared" si="478"/>
        <v>0</v>
      </c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21">
        <f t="shared" si="479"/>
        <v>0</v>
      </c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21">
        <f t="shared" si="480"/>
        <v>0</v>
      </c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21">
        <f t="shared" si="481"/>
        <v>0</v>
      </c>
    </row>
    <row r="46" spans="3:143" hidden="1">
      <c r="C46" s="18" t="s">
        <v>23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21">
        <f t="shared" si="482"/>
        <v>0</v>
      </c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21">
        <f t="shared" si="483"/>
        <v>0</v>
      </c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21">
        <f t="shared" si="474"/>
        <v>0</v>
      </c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21">
        <f t="shared" si="475"/>
        <v>0</v>
      </c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21">
        <f t="shared" si="476"/>
        <v>0</v>
      </c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21">
        <f t="shared" si="477"/>
        <v>0</v>
      </c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21">
        <f t="shared" si="478"/>
        <v>0</v>
      </c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21">
        <f t="shared" si="479"/>
        <v>0</v>
      </c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21">
        <f t="shared" si="480"/>
        <v>0</v>
      </c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21">
        <f t="shared" si="481"/>
        <v>0</v>
      </c>
    </row>
    <row r="47" spans="3:143" hidden="1">
      <c r="C47" s="18" t="s">
        <v>23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21">
        <f t="shared" si="482"/>
        <v>0</v>
      </c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21">
        <f t="shared" si="483"/>
        <v>0</v>
      </c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21">
        <f t="shared" si="474"/>
        <v>0</v>
      </c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21">
        <f t="shared" si="475"/>
        <v>0</v>
      </c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21">
        <f t="shared" si="476"/>
        <v>0</v>
      </c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21">
        <f t="shared" si="477"/>
        <v>0</v>
      </c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21">
        <f t="shared" si="478"/>
        <v>0</v>
      </c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21">
        <f t="shared" si="479"/>
        <v>0</v>
      </c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21">
        <f t="shared" si="480"/>
        <v>0</v>
      </c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21">
        <f t="shared" si="481"/>
        <v>0</v>
      </c>
    </row>
    <row r="48" spans="3:143" hidden="1">
      <c r="C48" s="18" t="s">
        <v>23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21">
        <f t="shared" si="482"/>
        <v>0</v>
      </c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21">
        <f t="shared" si="483"/>
        <v>0</v>
      </c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21">
        <f t="shared" si="474"/>
        <v>0</v>
      </c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21">
        <f t="shared" si="475"/>
        <v>0</v>
      </c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21">
        <f t="shared" si="476"/>
        <v>0</v>
      </c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21">
        <f t="shared" si="477"/>
        <v>0</v>
      </c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21">
        <f t="shared" si="478"/>
        <v>0</v>
      </c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21">
        <f t="shared" si="479"/>
        <v>0</v>
      </c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21">
        <f t="shared" si="480"/>
        <v>0</v>
      </c>
      <c r="EA48" s="19"/>
      <c r="EB48" s="19"/>
      <c r="EC48" s="19"/>
      <c r="ED48" s="19"/>
      <c r="EE48" s="19"/>
      <c r="EF48" s="19"/>
      <c r="EG48" s="19"/>
      <c r="EH48" s="19"/>
      <c r="EI48" s="19"/>
      <c r="EJ48" s="19"/>
      <c r="EK48" s="19"/>
      <c r="EL48" s="19"/>
      <c r="EM48" s="21">
        <f t="shared" si="481"/>
        <v>0</v>
      </c>
    </row>
    <row r="49" spans="3:143" ht="16.5">
      <c r="C49" s="14" t="s">
        <v>12</v>
      </c>
      <c r="E49" s="20">
        <f t="shared" ref="E49:Q49" ca="1" si="484">SUM(INDIRECT(ADDRESS(savings_min_row,COLUMN())&amp;":"&amp;ADDRESS(savings_max_row,COLUMN())))</f>
        <v>1750</v>
      </c>
      <c r="F49" s="20">
        <f t="shared" ca="1" si="484"/>
        <v>1650</v>
      </c>
      <c r="G49" s="20">
        <f t="shared" ca="1" si="484"/>
        <v>1550</v>
      </c>
      <c r="H49" s="20">
        <f t="shared" ca="1" si="484"/>
        <v>1850</v>
      </c>
      <c r="I49" s="20">
        <f t="shared" ca="1" si="484"/>
        <v>2650</v>
      </c>
      <c r="J49" s="20">
        <f t="shared" ca="1" si="484"/>
        <v>2550</v>
      </c>
      <c r="K49" s="20">
        <f t="shared" ca="1" si="484"/>
        <v>2750</v>
      </c>
      <c r="L49" s="20">
        <f t="shared" ca="1" si="484"/>
        <v>1450</v>
      </c>
      <c r="M49" s="20">
        <f t="shared" ca="1" si="484"/>
        <v>2550</v>
      </c>
      <c r="N49" s="20">
        <f t="shared" ca="1" si="484"/>
        <v>2750</v>
      </c>
      <c r="O49" s="20">
        <f t="shared" ca="1" si="484"/>
        <v>2650</v>
      </c>
      <c r="P49" s="20">
        <f t="shared" ca="1" si="484"/>
        <v>2250</v>
      </c>
      <c r="Q49" s="20">
        <f t="shared" ca="1" si="484"/>
        <v>26400</v>
      </c>
      <c r="S49" s="20">
        <f t="shared" ref="S49:AE49" ca="1" si="485">SUM(INDIRECT(ADDRESS(savings_min_row,COLUMN())&amp;":"&amp;ADDRESS(savings_max_row,COLUMN())))</f>
        <v>0</v>
      </c>
      <c r="T49" s="20">
        <f t="shared" ca="1" si="485"/>
        <v>0</v>
      </c>
      <c r="U49" s="20">
        <f t="shared" ca="1" si="485"/>
        <v>0</v>
      </c>
      <c r="V49" s="20">
        <f t="shared" ca="1" si="485"/>
        <v>0</v>
      </c>
      <c r="W49" s="20">
        <f t="shared" ca="1" si="485"/>
        <v>0</v>
      </c>
      <c r="X49" s="20">
        <f t="shared" ca="1" si="485"/>
        <v>0</v>
      </c>
      <c r="Y49" s="20">
        <f t="shared" ca="1" si="485"/>
        <v>0</v>
      </c>
      <c r="Z49" s="20">
        <f t="shared" ca="1" si="485"/>
        <v>0</v>
      </c>
      <c r="AA49" s="20">
        <f t="shared" ca="1" si="485"/>
        <v>0</v>
      </c>
      <c r="AB49" s="20">
        <f t="shared" ca="1" si="485"/>
        <v>0</v>
      </c>
      <c r="AC49" s="20">
        <f t="shared" ca="1" si="485"/>
        <v>0</v>
      </c>
      <c r="AD49" s="20">
        <f t="shared" ca="1" si="485"/>
        <v>0</v>
      </c>
      <c r="AE49" s="20">
        <f t="shared" ca="1" si="485"/>
        <v>0</v>
      </c>
      <c r="AG49" s="20">
        <f t="shared" ref="AG49:AS49" ca="1" si="486">SUM(INDIRECT(ADDRESS(savings_min_row,COLUMN())&amp;":"&amp;ADDRESS(savings_max_row,COLUMN())))</f>
        <v>0</v>
      </c>
      <c r="AH49" s="20">
        <f t="shared" ca="1" si="486"/>
        <v>0</v>
      </c>
      <c r="AI49" s="20">
        <f t="shared" ca="1" si="486"/>
        <v>0</v>
      </c>
      <c r="AJ49" s="20">
        <f t="shared" ca="1" si="486"/>
        <v>0</v>
      </c>
      <c r="AK49" s="20">
        <f t="shared" ca="1" si="486"/>
        <v>0</v>
      </c>
      <c r="AL49" s="20">
        <f t="shared" ca="1" si="486"/>
        <v>0</v>
      </c>
      <c r="AM49" s="20">
        <f t="shared" ca="1" si="486"/>
        <v>0</v>
      </c>
      <c r="AN49" s="20">
        <f t="shared" ca="1" si="486"/>
        <v>0</v>
      </c>
      <c r="AO49" s="20">
        <f t="shared" ca="1" si="486"/>
        <v>0</v>
      </c>
      <c r="AP49" s="20">
        <f t="shared" ca="1" si="486"/>
        <v>0</v>
      </c>
      <c r="AQ49" s="20">
        <f t="shared" ca="1" si="486"/>
        <v>0</v>
      </c>
      <c r="AR49" s="20">
        <f t="shared" ca="1" si="486"/>
        <v>0</v>
      </c>
      <c r="AS49" s="20">
        <f t="shared" ca="1" si="486"/>
        <v>0</v>
      </c>
      <c r="AU49" s="20">
        <f t="shared" ref="AU49:BG49" ca="1" si="487">SUM(INDIRECT(ADDRESS(savings_min_row,COLUMN())&amp;":"&amp;ADDRESS(savings_max_row,COLUMN())))</f>
        <v>0</v>
      </c>
      <c r="AV49" s="20">
        <f t="shared" ca="1" si="487"/>
        <v>0</v>
      </c>
      <c r="AW49" s="20">
        <f t="shared" ca="1" si="487"/>
        <v>0</v>
      </c>
      <c r="AX49" s="20">
        <f t="shared" ca="1" si="487"/>
        <v>0</v>
      </c>
      <c r="AY49" s="20">
        <f t="shared" ca="1" si="487"/>
        <v>0</v>
      </c>
      <c r="AZ49" s="20">
        <f t="shared" ca="1" si="487"/>
        <v>0</v>
      </c>
      <c r="BA49" s="20">
        <f t="shared" ca="1" si="487"/>
        <v>0</v>
      </c>
      <c r="BB49" s="20">
        <f t="shared" ca="1" si="487"/>
        <v>0</v>
      </c>
      <c r="BC49" s="20">
        <f t="shared" ca="1" si="487"/>
        <v>0</v>
      </c>
      <c r="BD49" s="20">
        <f t="shared" ca="1" si="487"/>
        <v>0</v>
      </c>
      <c r="BE49" s="20">
        <f t="shared" ca="1" si="487"/>
        <v>0</v>
      </c>
      <c r="BF49" s="20">
        <f t="shared" ca="1" si="487"/>
        <v>0</v>
      </c>
      <c r="BG49" s="20">
        <f t="shared" ca="1" si="487"/>
        <v>0</v>
      </c>
      <c r="BI49" s="20">
        <f t="shared" ref="BI49:BU49" ca="1" si="488">SUM(INDIRECT(ADDRESS(savings_min_row,COLUMN())&amp;":"&amp;ADDRESS(savings_max_row,COLUMN())))</f>
        <v>0</v>
      </c>
      <c r="BJ49" s="20">
        <f t="shared" ca="1" si="488"/>
        <v>0</v>
      </c>
      <c r="BK49" s="20">
        <f t="shared" ca="1" si="488"/>
        <v>0</v>
      </c>
      <c r="BL49" s="20">
        <f t="shared" ca="1" si="488"/>
        <v>0</v>
      </c>
      <c r="BM49" s="20">
        <f t="shared" ca="1" si="488"/>
        <v>0</v>
      </c>
      <c r="BN49" s="20">
        <f t="shared" ca="1" si="488"/>
        <v>0</v>
      </c>
      <c r="BO49" s="20">
        <f t="shared" ca="1" si="488"/>
        <v>0</v>
      </c>
      <c r="BP49" s="20">
        <f t="shared" ca="1" si="488"/>
        <v>0</v>
      </c>
      <c r="BQ49" s="20">
        <f t="shared" ca="1" si="488"/>
        <v>0</v>
      </c>
      <c r="BR49" s="20">
        <f t="shared" ca="1" si="488"/>
        <v>0</v>
      </c>
      <c r="BS49" s="20">
        <f t="shared" ca="1" si="488"/>
        <v>0</v>
      </c>
      <c r="BT49" s="20">
        <f t="shared" ca="1" si="488"/>
        <v>0</v>
      </c>
      <c r="BU49" s="20">
        <f t="shared" ca="1" si="488"/>
        <v>0</v>
      </c>
      <c r="BW49" s="20">
        <f t="shared" ref="BW49:CI49" ca="1" si="489">SUM(INDIRECT(ADDRESS(savings_min_row,COLUMN())&amp;":"&amp;ADDRESS(savings_max_row,COLUMN())))</f>
        <v>0</v>
      </c>
      <c r="BX49" s="20">
        <f t="shared" ca="1" si="489"/>
        <v>0</v>
      </c>
      <c r="BY49" s="20">
        <f t="shared" ca="1" si="489"/>
        <v>0</v>
      </c>
      <c r="BZ49" s="20">
        <f t="shared" ca="1" si="489"/>
        <v>0</v>
      </c>
      <c r="CA49" s="20">
        <f t="shared" ca="1" si="489"/>
        <v>0</v>
      </c>
      <c r="CB49" s="20">
        <f t="shared" ca="1" si="489"/>
        <v>0</v>
      </c>
      <c r="CC49" s="20">
        <f t="shared" ca="1" si="489"/>
        <v>0</v>
      </c>
      <c r="CD49" s="20">
        <f t="shared" ca="1" si="489"/>
        <v>0</v>
      </c>
      <c r="CE49" s="20">
        <f t="shared" ca="1" si="489"/>
        <v>0</v>
      </c>
      <c r="CF49" s="20">
        <f t="shared" ca="1" si="489"/>
        <v>0</v>
      </c>
      <c r="CG49" s="20">
        <f t="shared" ca="1" si="489"/>
        <v>0</v>
      </c>
      <c r="CH49" s="20">
        <f t="shared" ca="1" si="489"/>
        <v>0</v>
      </c>
      <c r="CI49" s="20">
        <f t="shared" ca="1" si="489"/>
        <v>0</v>
      </c>
      <c r="CK49" s="20">
        <f t="shared" ref="CK49:CW49" ca="1" si="490">SUM(INDIRECT(ADDRESS(savings_min_row,COLUMN())&amp;":"&amp;ADDRESS(savings_max_row,COLUMN())))</f>
        <v>0</v>
      </c>
      <c r="CL49" s="20">
        <f t="shared" ca="1" si="490"/>
        <v>0</v>
      </c>
      <c r="CM49" s="20">
        <f t="shared" ca="1" si="490"/>
        <v>0</v>
      </c>
      <c r="CN49" s="20">
        <f t="shared" ca="1" si="490"/>
        <v>0</v>
      </c>
      <c r="CO49" s="20">
        <f t="shared" ca="1" si="490"/>
        <v>0</v>
      </c>
      <c r="CP49" s="20">
        <f t="shared" ca="1" si="490"/>
        <v>0</v>
      </c>
      <c r="CQ49" s="20">
        <f t="shared" ca="1" si="490"/>
        <v>0</v>
      </c>
      <c r="CR49" s="20">
        <f t="shared" ca="1" si="490"/>
        <v>0</v>
      </c>
      <c r="CS49" s="20">
        <f t="shared" ca="1" si="490"/>
        <v>0</v>
      </c>
      <c r="CT49" s="20">
        <f t="shared" ca="1" si="490"/>
        <v>0</v>
      </c>
      <c r="CU49" s="20">
        <f t="shared" ca="1" si="490"/>
        <v>0</v>
      </c>
      <c r="CV49" s="20">
        <f t="shared" ca="1" si="490"/>
        <v>0</v>
      </c>
      <c r="CW49" s="20">
        <f t="shared" ca="1" si="490"/>
        <v>0</v>
      </c>
      <c r="CY49" s="20">
        <f t="shared" ref="CY49:DK49" ca="1" si="491">SUM(INDIRECT(ADDRESS(savings_min_row,COLUMN())&amp;":"&amp;ADDRESS(savings_max_row,COLUMN())))</f>
        <v>0</v>
      </c>
      <c r="CZ49" s="20">
        <f t="shared" ca="1" si="491"/>
        <v>0</v>
      </c>
      <c r="DA49" s="20">
        <f t="shared" ca="1" si="491"/>
        <v>0</v>
      </c>
      <c r="DB49" s="20">
        <f t="shared" ca="1" si="491"/>
        <v>0</v>
      </c>
      <c r="DC49" s="20">
        <f t="shared" ca="1" si="491"/>
        <v>0</v>
      </c>
      <c r="DD49" s="20">
        <f t="shared" ca="1" si="491"/>
        <v>0</v>
      </c>
      <c r="DE49" s="20">
        <f t="shared" ca="1" si="491"/>
        <v>0</v>
      </c>
      <c r="DF49" s="20">
        <f t="shared" ca="1" si="491"/>
        <v>0</v>
      </c>
      <c r="DG49" s="20">
        <f t="shared" ca="1" si="491"/>
        <v>0</v>
      </c>
      <c r="DH49" s="20">
        <f t="shared" ca="1" si="491"/>
        <v>0</v>
      </c>
      <c r="DI49" s="20">
        <f t="shared" ca="1" si="491"/>
        <v>0</v>
      </c>
      <c r="DJ49" s="20">
        <f t="shared" ca="1" si="491"/>
        <v>0</v>
      </c>
      <c r="DK49" s="20">
        <f t="shared" ca="1" si="491"/>
        <v>0</v>
      </c>
      <c r="DM49" s="20">
        <f t="shared" ref="DM49:DY49" ca="1" si="492">SUM(INDIRECT(ADDRESS(savings_min_row,COLUMN())&amp;":"&amp;ADDRESS(savings_max_row,COLUMN())))</f>
        <v>0</v>
      </c>
      <c r="DN49" s="20">
        <f t="shared" ca="1" si="492"/>
        <v>0</v>
      </c>
      <c r="DO49" s="20">
        <f t="shared" ca="1" si="492"/>
        <v>0</v>
      </c>
      <c r="DP49" s="20">
        <f t="shared" ca="1" si="492"/>
        <v>0</v>
      </c>
      <c r="DQ49" s="20">
        <f t="shared" ca="1" si="492"/>
        <v>0</v>
      </c>
      <c r="DR49" s="20">
        <f t="shared" ca="1" si="492"/>
        <v>0</v>
      </c>
      <c r="DS49" s="20">
        <f t="shared" ca="1" si="492"/>
        <v>0</v>
      </c>
      <c r="DT49" s="20">
        <f t="shared" ca="1" si="492"/>
        <v>0</v>
      </c>
      <c r="DU49" s="20">
        <f t="shared" ca="1" si="492"/>
        <v>0</v>
      </c>
      <c r="DV49" s="20">
        <f t="shared" ca="1" si="492"/>
        <v>0</v>
      </c>
      <c r="DW49" s="20">
        <f t="shared" ca="1" si="492"/>
        <v>0</v>
      </c>
      <c r="DX49" s="20">
        <f t="shared" ca="1" si="492"/>
        <v>0</v>
      </c>
      <c r="DY49" s="20">
        <f t="shared" ca="1" si="492"/>
        <v>0</v>
      </c>
      <c r="EA49" s="20">
        <f t="shared" ref="EA49:EM49" ca="1" si="493">SUM(INDIRECT(ADDRESS(savings_min_row,COLUMN())&amp;":"&amp;ADDRESS(savings_max_row,COLUMN())))</f>
        <v>0</v>
      </c>
      <c r="EB49" s="20">
        <f t="shared" ca="1" si="493"/>
        <v>0</v>
      </c>
      <c r="EC49" s="20">
        <f t="shared" ca="1" si="493"/>
        <v>0</v>
      </c>
      <c r="ED49" s="20">
        <f t="shared" ca="1" si="493"/>
        <v>0</v>
      </c>
      <c r="EE49" s="20">
        <f t="shared" ca="1" si="493"/>
        <v>0</v>
      </c>
      <c r="EF49" s="20">
        <f t="shared" ca="1" si="493"/>
        <v>0</v>
      </c>
      <c r="EG49" s="20">
        <f t="shared" ca="1" si="493"/>
        <v>0</v>
      </c>
      <c r="EH49" s="20">
        <f t="shared" ca="1" si="493"/>
        <v>0</v>
      </c>
      <c r="EI49" s="20">
        <f t="shared" ca="1" si="493"/>
        <v>0</v>
      </c>
      <c r="EJ49" s="20">
        <f t="shared" ca="1" si="493"/>
        <v>0</v>
      </c>
      <c r="EK49" s="20">
        <f t="shared" ca="1" si="493"/>
        <v>0</v>
      </c>
      <c r="EL49" s="20">
        <f t="shared" ca="1" si="493"/>
        <v>0</v>
      </c>
      <c r="EM49" s="20">
        <f t="shared" ca="1" si="493"/>
        <v>0</v>
      </c>
    </row>
  </sheetData>
  <mergeCells count="10">
    <mergeCell ref="CK5:CW5"/>
    <mergeCell ref="CY5:DK5"/>
    <mergeCell ref="DM5:DY5"/>
    <mergeCell ref="EA5:EM5"/>
    <mergeCell ref="E5:Q5"/>
    <mergeCell ref="S5:AE5"/>
    <mergeCell ref="AG5:AS5"/>
    <mergeCell ref="AU5:BG5"/>
    <mergeCell ref="BI5:BU5"/>
    <mergeCell ref="BW5:CI5"/>
  </mergeCells>
  <conditionalFormatting sqref="C10:C19 E10:Q19">
    <cfRule type="expression" dxfId="70" priority="18">
      <formula>ROW(A10)&lt;=income_max_row</formula>
    </cfRule>
  </conditionalFormatting>
  <conditionalFormatting sqref="C23:C35 E23:Q35">
    <cfRule type="expression" dxfId="69" priority="17">
      <formula>ROW(A23)&lt;=expenses_max_row</formula>
    </cfRule>
  </conditionalFormatting>
  <conditionalFormatting sqref="C39:C48 E39:Q48">
    <cfRule type="expression" dxfId="68" priority="16">
      <formula>ROW(A39)&lt;=savings_max_row</formula>
    </cfRule>
  </conditionalFormatting>
  <conditionalFormatting sqref="E6:Q7 AU6:BG7 BI6:BU7 BW6:CI7 CK6:CW7 CY6:DK7 DM6:DY7 EA6:EM7">
    <cfRule type="expression" dxfId="67" priority="13" stopIfTrue="1">
      <formula>AND(E$20=0, E$36=0, E$49=0)</formula>
    </cfRule>
    <cfRule type="expression" dxfId="66" priority="14" stopIfTrue="1">
      <formula>E$7=0</formula>
    </cfRule>
    <cfRule type="expression" dxfId="65" priority="15">
      <formula>E$7&lt;0</formula>
    </cfRule>
  </conditionalFormatting>
  <conditionalFormatting sqref="S6:AE7">
    <cfRule type="expression" dxfId="64" priority="7" stopIfTrue="1">
      <formula>AND(S$20=0, S$36=0, S$49=0)</formula>
    </cfRule>
    <cfRule type="expression" dxfId="63" priority="8" stopIfTrue="1">
      <formula>S$7=0</formula>
    </cfRule>
    <cfRule type="expression" dxfId="62" priority="9">
      <formula>S$7&lt;0</formula>
    </cfRule>
  </conditionalFormatting>
  <conditionalFormatting sqref="S10:AE19">
    <cfRule type="expression" dxfId="61" priority="12">
      <formula>ROW(Q10)&lt;=income_max_row</formula>
    </cfRule>
  </conditionalFormatting>
  <conditionalFormatting sqref="S23:AE35">
    <cfRule type="expression" dxfId="60" priority="11">
      <formula>ROW(Q23)&lt;=expenses_max_row</formula>
    </cfRule>
  </conditionalFormatting>
  <conditionalFormatting sqref="S39:AE48">
    <cfRule type="expression" dxfId="59" priority="10">
      <formula>ROW(Q39)&lt;=savings_max_row</formula>
    </cfRule>
  </conditionalFormatting>
  <conditionalFormatting sqref="AG6:AS7">
    <cfRule type="expression" dxfId="58" priority="1" stopIfTrue="1">
      <formula>AND(AG$20=0, AG$36=0, AG$49=0)</formula>
    </cfRule>
    <cfRule type="expression" dxfId="57" priority="2" stopIfTrue="1">
      <formula>AG$7=0</formula>
    </cfRule>
    <cfRule type="expression" dxfId="56" priority="3">
      <formula>AG$7&lt;0</formula>
    </cfRule>
  </conditionalFormatting>
  <conditionalFormatting sqref="AG10:AS19 AU10:BG19 BI10:BU19 BW10:CI19 CK10:CW19 CY10:DK19 DM10:DY19 EA10:EM19">
    <cfRule type="expression" dxfId="55" priority="6">
      <formula>ROW(AE10)&lt;=income_max_row</formula>
    </cfRule>
  </conditionalFormatting>
  <conditionalFormatting sqref="AG23:AS35 AU23:BG35 BI23:BU35 BW23:CI35 CK23:CW35 CY23:DK35 DM23:DY35 EA23:EM35">
    <cfRule type="expression" dxfId="54" priority="5">
      <formula>ROW(AE23)&lt;=expenses_max_row</formula>
    </cfRule>
  </conditionalFormatting>
  <conditionalFormatting sqref="AG39:AS48 AU39:BG48 BI39:BU48 BW39:CI48 CK39:CW48 CY39:DK48 DM39:DY48 EA39:EM48">
    <cfRule type="expression" dxfId="53" priority="4">
      <formula>ROW(AE39)&lt;=savings_max_row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78898-0749-4D4A-8011-79E3E03C2A9A}">
  <sheetPr codeName="Sheet4">
    <tabColor rgb="FF002060"/>
  </sheetPr>
  <dimension ref="C1:I70"/>
  <sheetViews>
    <sheetView showGridLines="0" workbookViewId="0">
      <pane ySplit="11" topLeftCell="A12" activePane="bottomLeft" state="frozen"/>
      <selection pane="bottomLeft" activeCell="S6" sqref="S6"/>
    </sheetView>
  </sheetViews>
  <sheetFormatPr defaultRowHeight="15"/>
  <cols>
    <col min="3" max="4" width="18.5703125" customWidth="1"/>
    <col min="5" max="5" width="35.7109375" customWidth="1"/>
    <col min="6" max="6" width="21.42578125" customWidth="1"/>
    <col min="7" max="7" width="25" customWidth="1"/>
    <col min="8" max="8" width="21.42578125" customWidth="1"/>
    <col min="9" max="9" width="19.42578125" customWidth="1"/>
    <col min="10" max="10" width="9.42578125" customWidth="1"/>
  </cols>
  <sheetData>
    <row r="1" spans="3:9" s="1" customFormat="1"/>
    <row r="2" spans="3:9" s="1" customFormat="1" ht="29.25">
      <c r="C2" s="2" t="s">
        <v>2</v>
      </c>
    </row>
    <row r="3" spans="3:9" s="1" customFormat="1"/>
    <row r="11" spans="3:9" ht="16.5">
      <c r="C11" s="28" t="s">
        <v>33</v>
      </c>
      <c r="D11" s="28" t="s">
        <v>34</v>
      </c>
      <c r="E11" s="28" t="s">
        <v>35</v>
      </c>
      <c r="F11" s="28" t="s">
        <v>36</v>
      </c>
      <c r="G11" s="28" t="s">
        <v>37</v>
      </c>
      <c r="H11" s="34" t="s">
        <v>40</v>
      </c>
      <c r="I11" s="34" t="s">
        <v>41</v>
      </c>
    </row>
    <row r="12" spans="3:9">
      <c r="C12" s="30">
        <v>44555</v>
      </c>
      <c r="D12" s="29" t="s">
        <v>11</v>
      </c>
      <c r="E12" s="29" t="s">
        <v>13</v>
      </c>
      <c r="F12" s="31">
        <v>3500</v>
      </c>
      <c r="G12" s="32"/>
      <c r="H12" s="33">
        <f>SUMPRODUCT(Tracking[Montante], --(Tracking[Data]&lt;=Tracking[[#This Row],[Data]]), (Tracking[Tipo]&lt;&gt;"Entrada") * (-1) + (Tracking[Tipo]="Entrada"))</f>
        <v>3500</v>
      </c>
      <c r="I12" s="41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44562</v>
      </c>
    </row>
    <row r="13" spans="3:9">
      <c r="C13" s="30">
        <v>44563</v>
      </c>
      <c r="D13" s="29" t="s">
        <v>38</v>
      </c>
      <c r="E13" s="29" t="s">
        <v>17</v>
      </c>
      <c r="F13" s="31">
        <v>1200</v>
      </c>
      <c r="G13" s="32"/>
      <c r="H13" s="33">
        <f>SUMPRODUCT(Tracking[Montante], --(Tracking[Data]&lt;=Tracking[[#This Row],[Data]]), (Tracking[Tipo]&lt;&gt;"Entrada") * (-1) + (Tracking[Tipo]="Entrada"))</f>
        <v>2300</v>
      </c>
      <c r="I1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44563</v>
      </c>
    </row>
    <row r="14" spans="3:9">
      <c r="C14" s="30">
        <v>44564</v>
      </c>
      <c r="D14" s="29" t="s">
        <v>38</v>
      </c>
      <c r="E14" s="29" t="s">
        <v>27</v>
      </c>
      <c r="F14" s="31">
        <v>150</v>
      </c>
      <c r="G14" s="32"/>
      <c r="H14" s="33">
        <f>SUMPRODUCT(Tracking[Montante], --(Tracking[Data]&lt;=Tracking[[#This Row],[Data]]), (Tracking[Tipo]&lt;&gt;"Entrada") * (-1) + (Tracking[Tipo]="Entrada"))</f>
        <v>2150</v>
      </c>
      <c r="I1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44564</v>
      </c>
    </row>
    <row r="15" spans="3:9">
      <c r="C15" s="30">
        <v>44565</v>
      </c>
      <c r="D15" s="29" t="s">
        <v>39</v>
      </c>
      <c r="E15" s="29" t="s">
        <v>31</v>
      </c>
      <c r="F15" s="31">
        <v>1000</v>
      </c>
      <c r="G15" s="32"/>
      <c r="H15" s="33">
        <f>SUMPRODUCT(Tracking[Montante], --(Tracking[Data]&lt;=Tracking[[#This Row],[Data]]), (Tracking[Tipo]&lt;&gt;"Entrada") * (-1) + (Tracking[Tipo]="Entrada"))</f>
        <v>1150</v>
      </c>
      <c r="I1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44565</v>
      </c>
    </row>
    <row r="16" spans="3:9">
      <c r="C16" s="30">
        <v>44566</v>
      </c>
      <c r="D16" s="29" t="s">
        <v>38</v>
      </c>
      <c r="E16" s="29" t="s">
        <v>18</v>
      </c>
      <c r="F16" s="31">
        <v>300</v>
      </c>
      <c r="G16" s="32"/>
      <c r="H16" s="33">
        <f>SUMPRODUCT(Tracking[Montante], --(Tracking[Data]&lt;=Tracking[[#This Row],[Data]]), (Tracking[Tipo]&lt;&gt;"Entrada") * (-1) + (Tracking[Tipo]="Entrada"))</f>
        <v>850</v>
      </c>
      <c r="I1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44566</v>
      </c>
    </row>
    <row r="17" spans="3:9">
      <c r="C17" s="30">
        <v>44568</v>
      </c>
      <c r="D17" s="29" t="s">
        <v>38</v>
      </c>
      <c r="E17" s="29" t="s">
        <v>27</v>
      </c>
      <c r="F17" s="31">
        <v>120</v>
      </c>
      <c r="G17" s="32"/>
      <c r="H17" s="33">
        <f>SUMPRODUCT(Tracking[Montante], --(Tracking[Data]&lt;=Tracking[[#This Row],[Data]]), (Tracking[Tipo]&lt;&gt;"Entrada") * (-1) + (Tracking[Tipo]="Entrada"))</f>
        <v>730</v>
      </c>
      <c r="I1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44568</v>
      </c>
    </row>
    <row r="18" spans="3:9">
      <c r="C18" s="30">
        <v>44570</v>
      </c>
      <c r="D18" s="29" t="s">
        <v>38</v>
      </c>
      <c r="E18" s="29" t="s">
        <v>25</v>
      </c>
      <c r="F18" s="31">
        <v>80</v>
      </c>
      <c r="G18" s="32"/>
      <c r="H18" s="33">
        <f>SUMPRODUCT(Tracking[Montante], --(Tracking[Data]&lt;=Tracking[[#This Row],[Data]]), (Tracking[Tipo]&lt;&gt;"Entrada") * (-1) + (Tracking[Tipo]="Entrada"))</f>
        <v>650</v>
      </c>
      <c r="I1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44570</v>
      </c>
    </row>
    <row r="19" spans="3:9">
      <c r="C19" s="30">
        <v>44571</v>
      </c>
      <c r="D19" s="29" t="s">
        <v>38</v>
      </c>
      <c r="E19" s="29" t="s">
        <v>29</v>
      </c>
      <c r="F19" s="31">
        <v>120</v>
      </c>
      <c r="G19" s="32"/>
      <c r="H19" s="33">
        <f>SUMPRODUCT(Tracking[Montante], --(Tracking[Data]&lt;=Tracking[[#This Row],[Data]]), (Tracking[Tipo]&lt;&gt;"Entrada") * (-1) + (Tracking[Tipo]="Entrada"))</f>
        <v>680</v>
      </c>
      <c r="I1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44571</v>
      </c>
    </row>
    <row r="20" spans="3:9">
      <c r="C20" s="30">
        <v>44571</v>
      </c>
      <c r="D20" s="29" t="s">
        <v>11</v>
      </c>
      <c r="E20" s="29" t="s">
        <v>15</v>
      </c>
      <c r="F20" s="31">
        <v>150</v>
      </c>
      <c r="G20" s="32"/>
      <c r="H20" s="33">
        <f>SUMPRODUCT(Tracking[Montante], --(Tracking[Data]&lt;=Tracking[[#This Row],[Data]]), (Tracking[Tipo]&lt;&gt;"Entrada") * (-1) + (Tracking[Tipo]="Entrada"))</f>
        <v>680</v>
      </c>
      <c r="I2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44571</v>
      </c>
    </row>
    <row r="21" spans="3:9">
      <c r="C21" s="30">
        <v>44573</v>
      </c>
      <c r="D21" s="29" t="s">
        <v>38</v>
      </c>
      <c r="E21" s="29" t="s">
        <v>30</v>
      </c>
      <c r="F21" s="31">
        <v>50</v>
      </c>
      <c r="G21" s="32"/>
      <c r="H21" s="33">
        <f>SUMPRODUCT(Tracking[Montante], --(Tracking[Data]&lt;=Tracking[[#This Row],[Data]]), (Tracking[Tipo]&lt;&gt;"Entrada") * (-1) + (Tracking[Tipo]="Entrada"))</f>
        <v>630</v>
      </c>
      <c r="I21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44573</v>
      </c>
    </row>
    <row r="22" spans="3:9">
      <c r="C22" s="30">
        <v>44574</v>
      </c>
      <c r="D22" s="29" t="s">
        <v>38</v>
      </c>
      <c r="E22" s="29" t="s">
        <v>28</v>
      </c>
      <c r="F22" s="31">
        <v>70</v>
      </c>
      <c r="G22" s="32"/>
      <c r="H22" s="33">
        <f>SUMPRODUCT(Tracking[Montante], --(Tracking[Data]&lt;=Tracking[[#This Row],[Data]]), (Tracking[Tipo]&lt;&gt;"Entrada") * (-1) + (Tracking[Tipo]="Entrada"))</f>
        <v>560</v>
      </c>
      <c r="I22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44574</v>
      </c>
    </row>
    <row r="23" spans="3:9">
      <c r="C23" s="30">
        <v>44575</v>
      </c>
      <c r="D23" s="29" t="s">
        <v>38</v>
      </c>
      <c r="E23" s="29" t="s">
        <v>26</v>
      </c>
      <c r="F23" s="31">
        <v>80</v>
      </c>
      <c r="G23" s="32"/>
      <c r="H23" s="33">
        <f>SUMPRODUCT(Tracking[Montante], --(Tracking[Data]&lt;=Tracking[[#This Row],[Data]]), (Tracking[Tipo]&lt;&gt;"Entrada") * (-1) + (Tracking[Tipo]="Entrada"))</f>
        <v>480</v>
      </c>
      <c r="I2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44575</v>
      </c>
    </row>
    <row r="24" spans="3:9">
      <c r="C24" s="30">
        <v>44576</v>
      </c>
      <c r="D24" s="29" t="s">
        <v>11</v>
      </c>
      <c r="E24" s="29" t="s">
        <v>14</v>
      </c>
      <c r="F24" s="31">
        <v>1200</v>
      </c>
      <c r="G24" s="32"/>
      <c r="H24" s="33">
        <f>SUMPRODUCT(Tracking[Montante], --(Tracking[Data]&lt;=Tracking[[#This Row],[Data]]), (Tracking[Tipo]&lt;&gt;"Entrada") * (-1) + (Tracking[Tipo]="Entrada"))</f>
        <v>1680</v>
      </c>
      <c r="I2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44576</v>
      </c>
    </row>
    <row r="25" spans="3:9">
      <c r="C25" s="30">
        <v>44578</v>
      </c>
      <c r="D25" s="29" t="s">
        <v>38</v>
      </c>
      <c r="E25" s="29" t="s">
        <v>29</v>
      </c>
      <c r="F25" s="31">
        <v>100</v>
      </c>
      <c r="G25" s="32"/>
      <c r="H25" s="33">
        <f>SUMPRODUCT(Tracking[Montante], --(Tracking[Data]&lt;=Tracking[[#This Row],[Data]]), (Tracking[Tipo]&lt;&gt;"Entrada") * (-1) + (Tracking[Tipo]="Entrada"))</f>
        <v>1580</v>
      </c>
      <c r="I2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44578</v>
      </c>
    </row>
    <row r="26" spans="3:9">
      <c r="C26" s="30">
        <v>44579</v>
      </c>
      <c r="D26" s="29" t="s">
        <v>38</v>
      </c>
      <c r="E26" s="29" t="s">
        <v>27</v>
      </c>
      <c r="F26" s="31">
        <v>70</v>
      </c>
      <c r="G26" s="32"/>
      <c r="H26" s="33">
        <f>SUMPRODUCT(Tracking[Montante], --(Tracking[Data]&lt;=Tracking[[#This Row],[Data]]), (Tracking[Tipo]&lt;&gt;"Entrada") * (-1) + (Tracking[Tipo]="Entrada"))</f>
        <v>1510</v>
      </c>
      <c r="I2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44579</v>
      </c>
    </row>
    <row r="27" spans="3:9">
      <c r="C27" s="30">
        <v>44580</v>
      </c>
      <c r="D27" s="29" t="s">
        <v>38</v>
      </c>
      <c r="E27" s="29" t="s">
        <v>28</v>
      </c>
      <c r="F27" s="31">
        <v>60</v>
      </c>
      <c r="G27" s="32"/>
      <c r="H27" s="33">
        <f>SUMPRODUCT(Tracking[Montante], --(Tracking[Data]&lt;=Tracking[[#This Row],[Data]]), (Tracking[Tipo]&lt;&gt;"Entrada") * (-1) + (Tracking[Tipo]="Entrada"))</f>
        <v>1450</v>
      </c>
      <c r="I2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44580</v>
      </c>
    </row>
    <row r="28" spans="3:9">
      <c r="C28" s="30">
        <v>44582</v>
      </c>
      <c r="D28" s="29" t="s">
        <v>38</v>
      </c>
      <c r="E28" s="29" t="s">
        <v>30</v>
      </c>
      <c r="F28" s="31">
        <v>30</v>
      </c>
      <c r="G28" s="32"/>
      <c r="H28" s="33">
        <f>SUMPRODUCT(Tracking[Montante], --(Tracking[Data]&lt;=Tracking[[#This Row],[Data]]), (Tracking[Tipo]&lt;&gt;"Entrada") * (-1) + (Tracking[Tipo]="Entrada"))</f>
        <v>1420</v>
      </c>
      <c r="I2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44582</v>
      </c>
    </row>
    <row r="29" spans="3:9">
      <c r="C29" s="30">
        <v>44583</v>
      </c>
      <c r="D29" s="29" t="s">
        <v>38</v>
      </c>
      <c r="E29" s="29" t="s">
        <v>25</v>
      </c>
      <c r="F29" s="31">
        <v>100</v>
      </c>
      <c r="G29" s="32"/>
      <c r="H29" s="33">
        <f>SUMPRODUCT(Tracking[Montante], --(Tracking[Data]&lt;=Tracking[[#This Row],[Data]]), (Tracking[Tipo]&lt;&gt;"Entrada") * (-1) + (Tracking[Tipo]="Entrada"))</f>
        <v>1320</v>
      </c>
      <c r="I2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44583</v>
      </c>
    </row>
    <row r="30" spans="3:9">
      <c r="C30" s="30">
        <v>44585</v>
      </c>
      <c r="D30" s="29" t="s">
        <v>38</v>
      </c>
      <c r="E30" s="29" t="s">
        <v>28</v>
      </c>
      <c r="F30" s="31">
        <v>40</v>
      </c>
      <c r="G30" s="32"/>
      <c r="H30" s="33">
        <f>SUMPRODUCT(Tracking[Montante], --(Tracking[Data]&lt;=Tracking[[#This Row],[Data]]), (Tracking[Tipo]&lt;&gt;"Entrada") * (-1) + (Tracking[Tipo]="Entrada"))</f>
        <v>1280</v>
      </c>
      <c r="I3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44585</v>
      </c>
    </row>
    <row r="31" spans="3:9">
      <c r="C31" s="30">
        <v>44586</v>
      </c>
      <c r="D31" s="29" t="s">
        <v>11</v>
      </c>
      <c r="E31" s="29" t="s">
        <v>13</v>
      </c>
      <c r="F31" s="31">
        <v>3500</v>
      </c>
      <c r="G31" s="32"/>
      <c r="H31" s="33">
        <f>SUMPRODUCT(Tracking[Montante], --(Tracking[Data]&lt;=Tracking[[#This Row],[Data]]), (Tracking[Tipo]&lt;&gt;"Entrada") * (-1) + (Tracking[Tipo]="Entrada"))</f>
        <v>4780</v>
      </c>
      <c r="I31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44593</v>
      </c>
    </row>
    <row r="32" spans="3:9">
      <c r="C32" s="30">
        <v>44587</v>
      </c>
      <c r="D32" s="29" t="s">
        <v>38</v>
      </c>
      <c r="E32" s="29" t="s">
        <v>16</v>
      </c>
      <c r="F32" s="31">
        <v>120</v>
      </c>
      <c r="G32" s="32"/>
      <c r="H32" s="33">
        <f>SUMPRODUCT(Tracking[Montante], --(Tracking[Data]&lt;=Tracking[[#This Row],[Data]]), (Tracking[Tipo]&lt;&gt;"Entrada") * (-1) + (Tracking[Tipo]="Entrada"))</f>
        <v>4660</v>
      </c>
      <c r="I32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44587</v>
      </c>
    </row>
    <row r="33" spans="3:9">
      <c r="C33" s="30">
        <v>44589</v>
      </c>
      <c r="D33" s="29" t="s">
        <v>38</v>
      </c>
      <c r="E33" s="29" t="s">
        <v>16</v>
      </c>
      <c r="F33" s="31">
        <v>110</v>
      </c>
      <c r="G33" s="32"/>
      <c r="H33" s="33">
        <f>SUMPRODUCT(Tracking[Montante], --(Tracking[Data]&lt;=Tracking[[#This Row],[Data]]), (Tracking[Tipo]&lt;&gt;"Entrada") * (-1) + (Tracking[Tipo]="Entrada"))</f>
        <v>4550</v>
      </c>
      <c r="I3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44589</v>
      </c>
    </row>
    <row r="34" spans="3:9">
      <c r="C34" s="30">
        <v>44592</v>
      </c>
      <c r="D34" s="29" t="s">
        <v>39</v>
      </c>
      <c r="E34" s="29" t="s">
        <v>21</v>
      </c>
      <c r="F34" s="31">
        <v>400</v>
      </c>
      <c r="G34" s="32"/>
      <c r="H34" s="33">
        <f>SUMPRODUCT(Tracking[Montante], --(Tracking[Data]&lt;=Tracking[[#This Row],[Data]]), (Tracking[Tipo]&lt;&gt;"Entrada") * (-1) + (Tracking[Tipo]="Entrada"))</f>
        <v>3500</v>
      </c>
      <c r="I3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44592</v>
      </c>
    </row>
    <row r="35" spans="3:9">
      <c r="C35" s="30">
        <v>44592</v>
      </c>
      <c r="D35" s="29" t="s">
        <v>39</v>
      </c>
      <c r="E35" s="29" t="s">
        <v>31</v>
      </c>
      <c r="F35" s="31">
        <v>250</v>
      </c>
      <c r="G35" s="32"/>
      <c r="H35" s="33">
        <f>SUMPRODUCT(Tracking[Montante], --(Tracking[Data]&lt;=Tracking[[#This Row],[Data]]), (Tracking[Tipo]&lt;&gt;"Entrada") * (-1) + (Tracking[Tipo]="Entrada"))</f>
        <v>3500</v>
      </c>
      <c r="I3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44592</v>
      </c>
    </row>
    <row r="36" spans="3:9">
      <c r="C36" s="30">
        <v>44592</v>
      </c>
      <c r="D36" s="29" t="s">
        <v>39</v>
      </c>
      <c r="E36" s="29" t="s">
        <v>22</v>
      </c>
      <c r="F36" s="31">
        <v>400</v>
      </c>
      <c r="G36" s="32"/>
      <c r="H36" s="33">
        <f>SUMPRODUCT(Tracking[Montante], --(Tracking[Data]&lt;=Tracking[[#This Row],[Data]]), (Tracking[Tipo]&lt;&gt;"Entrada") * (-1) + (Tracking[Tipo]="Entrada"))</f>
        <v>3500</v>
      </c>
      <c r="I3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44592</v>
      </c>
    </row>
    <row r="37" spans="3:9">
      <c r="C37" s="30">
        <v>44593</v>
      </c>
      <c r="D37" s="29" t="s">
        <v>38</v>
      </c>
      <c r="E37" s="29" t="s">
        <v>18</v>
      </c>
      <c r="F37" s="31">
        <v>1200</v>
      </c>
      <c r="G37" s="32"/>
      <c r="H37" s="33">
        <f>SUMPRODUCT(Tracking[Montante], --(Tracking[Data]&lt;=Tracking[[#This Row],[Data]]), (Tracking[Tipo]&lt;&gt;"Entrada") * (-1) + (Tracking[Tipo]="Entrada"))</f>
        <v>2300</v>
      </c>
      <c r="I3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44593</v>
      </c>
    </row>
    <row r="38" spans="3:9">
      <c r="C38" s="30">
        <v>44594</v>
      </c>
      <c r="D38" s="29" t="s">
        <v>38</v>
      </c>
      <c r="E38" s="29" t="s">
        <v>26</v>
      </c>
      <c r="F38" s="31">
        <v>300</v>
      </c>
      <c r="G38" s="32"/>
      <c r="H38" s="33">
        <f>SUMPRODUCT(Tracking[Montante], --(Tracking[Data]&lt;=Tracking[[#This Row],[Data]]), (Tracking[Tipo]&lt;&gt;"Entrada") * (-1) + (Tracking[Tipo]="Entrada"))</f>
        <v>2000</v>
      </c>
      <c r="I3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44594</v>
      </c>
    </row>
    <row r="39" spans="3:9">
      <c r="C39" s="30">
        <v>44597</v>
      </c>
      <c r="D39" s="29" t="s">
        <v>11</v>
      </c>
      <c r="E39" s="29" t="s">
        <v>14</v>
      </c>
      <c r="F39" s="31">
        <v>500</v>
      </c>
      <c r="G39" s="32"/>
      <c r="H39" s="33">
        <f>SUMPRODUCT(Tracking[Montante], --(Tracking[Data]&lt;=Tracking[[#This Row],[Data]]), (Tracking[Tipo]&lt;&gt;"Entrada") * (-1) + (Tracking[Tipo]="Entrada"))</f>
        <v>2500</v>
      </c>
      <c r="I3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44597</v>
      </c>
    </row>
    <row r="40" spans="3:9">
      <c r="C40" s="30">
        <v>44599</v>
      </c>
      <c r="D40" s="29" t="s">
        <v>38</v>
      </c>
      <c r="E40" s="29" t="s">
        <v>29</v>
      </c>
      <c r="F40" s="31">
        <v>200</v>
      </c>
      <c r="G40" s="32"/>
      <c r="H40" s="33">
        <f>SUMPRODUCT(Tracking[Montante], --(Tracking[Data]&lt;=Tracking[[#This Row],[Data]]), (Tracking[Tipo]&lt;&gt;"Entrada") * (-1) + (Tracking[Tipo]="Entrada"))</f>
        <v>2300</v>
      </c>
      <c r="I4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44599</v>
      </c>
    </row>
    <row r="41" spans="3:9">
      <c r="C41" s="30">
        <v>44600</v>
      </c>
      <c r="D41" s="29" t="s">
        <v>38</v>
      </c>
      <c r="E41" s="29" t="s">
        <v>25</v>
      </c>
      <c r="F41" s="31">
        <v>100</v>
      </c>
      <c r="G41" s="32"/>
      <c r="H41" s="33">
        <f>SUMPRODUCT(Tracking[Montante], --(Tracking[Data]&lt;=Tracking[[#This Row],[Data]]), (Tracking[Tipo]&lt;&gt;"Entrada") * (-1) + (Tracking[Tipo]="Entrada"))</f>
        <v>2200</v>
      </c>
      <c r="I41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44600</v>
      </c>
    </row>
    <row r="42" spans="3:9">
      <c r="C42" s="30">
        <v>44601</v>
      </c>
      <c r="D42" s="29" t="s">
        <v>39</v>
      </c>
      <c r="E42" s="29" t="s">
        <v>22</v>
      </c>
      <c r="F42" s="31">
        <v>500</v>
      </c>
      <c r="G42" s="32"/>
      <c r="H42" s="33">
        <f>SUMPRODUCT(Tracking[Montante], --(Tracking[Data]&lt;=Tracking[[#This Row],[Data]]), (Tracking[Tipo]&lt;&gt;"Entrada") * (-1) + (Tracking[Tipo]="Entrada"))</f>
        <v>1700</v>
      </c>
      <c r="I42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44601</v>
      </c>
    </row>
    <row r="43" spans="3:9">
      <c r="C43" s="30">
        <v>44602</v>
      </c>
      <c r="D43" s="29" t="s">
        <v>38</v>
      </c>
      <c r="E43" s="29" t="s">
        <v>27</v>
      </c>
      <c r="F43" s="31">
        <v>60</v>
      </c>
      <c r="G43" s="32"/>
      <c r="H43" s="33">
        <f>SUMPRODUCT(Tracking[Montante], --(Tracking[Data]&lt;=Tracking[[#This Row],[Data]]), (Tracking[Tipo]&lt;&gt;"Entrada") * (-1) + (Tracking[Tipo]="Entrada"))</f>
        <v>1640</v>
      </c>
      <c r="I4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44602</v>
      </c>
    </row>
    <row r="44" spans="3:9">
      <c r="C44" s="30">
        <v>44603</v>
      </c>
      <c r="D44" s="29" t="s">
        <v>38</v>
      </c>
      <c r="E44" s="29" t="s">
        <v>28</v>
      </c>
      <c r="F44" s="31">
        <v>70</v>
      </c>
      <c r="G44" s="32"/>
      <c r="H44" s="33">
        <f>SUMPRODUCT(Tracking[Montante], --(Tracking[Data]&lt;=Tracking[[#This Row],[Data]]), (Tracking[Tipo]&lt;&gt;"Entrada") * (-1) + (Tracking[Tipo]="Entrada"))</f>
        <v>1570</v>
      </c>
      <c r="I4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44603</v>
      </c>
    </row>
    <row r="45" spans="3:9">
      <c r="C45" s="30">
        <v>44605</v>
      </c>
      <c r="D45" s="29" t="s">
        <v>38</v>
      </c>
      <c r="E45" s="29" t="s">
        <v>29</v>
      </c>
      <c r="F45" s="31">
        <v>140</v>
      </c>
      <c r="G45" s="32"/>
      <c r="H45" s="33">
        <f>SUMPRODUCT(Tracking[Montante], --(Tracking[Data]&lt;=Tracking[[#This Row],[Data]]), (Tracking[Tipo]&lt;&gt;"Entrada") * (-1) + (Tracking[Tipo]="Entrada"))</f>
        <v>1430</v>
      </c>
      <c r="I4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44605</v>
      </c>
    </row>
    <row r="46" spans="3:9">
      <c r="C46" s="30">
        <v>44606</v>
      </c>
      <c r="D46" s="29" t="s">
        <v>38</v>
      </c>
      <c r="E46" s="29" t="s">
        <v>16</v>
      </c>
      <c r="F46" s="31">
        <v>80</v>
      </c>
      <c r="G46" s="32"/>
      <c r="H46" s="33">
        <f>SUMPRODUCT(Tracking[Montante], --(Tracking[Data]&lt;=Tracking[[#This Row],[Data]]), (Tracking[Tipo]&lt;&gt;"Entrada") * (-1) + (Tracking[Tipo]="Entrada"))</f>
        <v>1350</v>
      </c>
      <c r="I4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44606</v>
      </c>
    </row>
    <row r="47" spans="3:9">
      <c r="C47" s="30">
        <v>44607</v>
      </c>
      <c r="D47" s="29" t="s">
        <v>11</v>
      </c>
      <c r="E47" s="29" t="s">
        <v>15</v>
      </c>
      <c r="F47" s="31">
        <v>50</v>
      </c>
      <c r="G47" s="32"/>
      <c r="H47" s="33">
        <f>SUMPRODUCT(Tracking[Montante], --(Tracking[Data]&lt;=Tracking[[#This Row],[Data]]), (Tracking[Tipo]&lt;&gt;"Entrada") * (-1) + (Tracking[Tipo]="Entrada"))</f>
        <v>1400</v>
      </c>
      <c r="I4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44607</v>
      </c>
    </row>
    <row r="48" spans="3:9">
      <c r="C48" s="30">
        <v>44608</v>
      </c>
      <c r="D48" s="29" t="s">
        <v>38</v>
      </c>
      <c r="E48" s="29" t="s">
        <v>30</v>
      </c>
      <c r="F48" s="31">
        <v>70</v>
      </c>
      <c r="G48" s="32"/>
      <c r="H48" s="33">
        <f>SUMPRODUCT(Tracking[Montante], --(Tracking[Data]&lt;=Tracking[[#This Row],[Data]]), (Tracking[Tipo]&lt;&gt;"Entrada") * (-1) + (Tracking[Tipo]="Entrada"))</f>
        <v>1330</v>
      </c>
      <c r="I4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44608</v>
      </c>
    </row>
    <row r="49" spans="3:9">
      <c r="C49" s="30">
        <v>44609</v>
      </c>
      <c r="D49" s="29" t="s">
        <v>38</v>
      </c>
      <c r="E49" s="29" t="s">
        <v>25</v>
      </c>
      <c r="F49" s="31">
        <v>150</v>
      </c>
      <c r="G49" s="32"/>
      <c r="H49" s="33">
        <f>SUMPRODUCT(Tracking[Montante], --(Tracking[Data]&lt;=Tracking[[#This Row],[Data]]), (Tracking[Tipo]&lt;&gt;"Entrada") * (-1) + (Tracking[Tipo]="Entrada"))</f>
        <v>1180</v>
      </c>
      <c r="I4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44609</v>
      </c>
    </row>
    <row r="50" spans="3:9">
      <c r="C50" s="30">
        <v>44610</v>
      </c>
      <c r="D50" s="29" t="s">
        <v>38</v>
      </c>
      <c r="E50" s="29" t="s">
        <v>29</v>
      </c>
      <c r="F50" s="31">
        <v>60</v>
      </c>
      <c r="G50" s="32"/>
      <c r="H50" s="33">
        <f>SUMPRODUCT(Tracking[Montante], --(Tracking[Data]&lt;=Tracking[[#This Row],[Data]]), (Tracking[Tipo]&lt;&gt;"Entrada") * (-1) + (Tracking[Tipo]="Entrada"))</f>
        <v>1120</v>
      </c>
      <c r="I5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44610</v>
      </c>
    </row>
    <row r="51" spans="3:9">
      <c r="C51" s="30">
        <v>44612</v>
      </c>
      <c r="D51" s="29" t="s">
        <v>38</v>
      </c>
      <c r="E51" s="29" t="s">
        <v>28</v>
      </c>
      <c r="F51" s="31">
        <v>140</v>
      </c>
      <c r="G51" s="32"/>
      <c r="H51" s="33">
        <f>SUMPRODUCT(Tracking[Montante], --(Tracking[Data]&lt;=Tracking[[#This Row],[Data]]), (Tracking[Tipo]&lt;&gt;"Entrada") * (-1) + (Tracking[Tipo]="Entrada"))</f>
        <v>980</v>
      </c>
      <c r="I51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44612</v>
      </c>
    </row>
    <row r="52" spans="3:9">
      <c r="C52" s="30">
        <v>44614</v>
      </c>
      <c r="D52" s="29" t="s">
        <v>38</v>
      </c>
      <c r="E52" s="29" t="s">
        <v>27</v>
      </c>
      <c r="F52" s="31">
        <v>80</v>
      </c>
      <c r="G52" s="32"/>
      <c r="H52" s="33">
        <f>SUMPRODUCT(Tracking[Montante], --(Tracking[Data]&lt;=Tracking[[#This Row],[Data]]), (Tracking[Tipo]&lt;&gt;"Entrada") * (-1) + (Tracking[Tipo]="Entrada"))</f>
        <v>900</v>
      </c>
      <c r="I52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44614</v>
      </c>
    </row>
    <row r="53" spans="3:9">
      <c r="C53" s="30">
        <v>44616</v>
      </c>
      <c r="D53" s="29" t="s">
        <v>38</v>
      </c>
      <c r="E53" s="29" t="s">
        <v>25</v>
      </c>
      <c r="F53" s="31">
        <v>120</v>
      </c>
      <c r="G53" s="32"/>
      <c r="H53" s="33">
        <f>SUMPRODUCT(Tracking[Montante], --(Tracking[Data]&lt;=Tracking[[#This Row],[Data]]), (Tracking[Tipo]&lt;&gt;"Entrada") * (-1) + (Tracking[Tipo]="Entrada"))</f>
        <v>780</v>
      </c>
      <c r="I5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44616</v>
      </c>
    </row>
    <row r="54" spans="3:9">
      <c r="C54" s="30">
        <v>44617</v>
      </c>
      <c r="D54" s="29" t="s">
        <v>38</v>
      </c>
      <c r="E54" s="29" t="s">
        <v>26</v>
      </c>
      <c r="F54" s="31">
        <v>130</v>
      </c>
      <c r="G54" s="32"/>
      <c r="H54" s="33">
        <f>SUMPRODUCT(Tracking[Montante], --(Tracking[Data]&lt;=Tracking[[#This Row],[Data]]), (Tracking[Tipo]&lt;&gt;"Entrada") * (-1) + (Tracking[Tipo]="Entrada"))</f>
        <v>4150</v>
      </c>
      <c r="I5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44617</v>
      </c>
    </row>
    <row r="55" spans="3:9">
      <c r="C55" s="30">
        <v>44617</v>
      </c>
      <c r="D55" s="29" t="s">
        <v>11</v>
      </c>
      <c r="E55" s="29" t="s">
        <v>13</v>
      </c>
      <c r="F55" s="31">
        <v>3500</v>
      </c>
      <c r="G55" s="32"/>
      <c r="H55" s="33">
        <f>SUMPRODUCT(Tracking[Montante], --(Tracking[Data]&lt;=Tracking[[#This Row],[Data]]), (Tracking[Tipo]&lt;&gt;"Entrada") * (-1) + (Tracking[Tipo]="Entrada"))</f>
        <v>4150</v>
      </c>
      <c r="I5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44621</v>
      </c>
    </row>
    <row r="56" spans="3:9">
      <c r="C56" s="30">
        <v>44618</v>
      </c>
      <c r="D56" s="29" t="s">
        <v>38</v>
      </c>
      <c r="E56" s="29" t="s">
        <v>16</v>
      </c>
      <c r="F56" s="31">
        <v>50</v>
      </c>
      <c r="G56" s="32"/>
      <c r="H56" s="33">
        <f>SUMPRODUCT(Tracking[Montante], --(Tracking[Data]&lt;=Tracking[[#This Row],[Data]]), (Tracking[Tipo]&lt;&gt;"Entrada") * (-1) + (Tracking[Tipo]="Entrada"))</f>
        <v>4100</v>
      </c>
      <c r="I5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44618</v>
      </c>
    </row>
    <row r="57" spans="3:9">
      <c r="C57" s="30">
        <v>44619</v>
      </c>
      <c r="D57" s="29" t="s">
        <v>38</v>
      </c>
      <c r="E57" s="29" t="s">
        <v>30</v>
      </c>
      <c r="F57" s="31">
        <v>60</v>
      </c>
      <c r="G57" s="32"/>
      <c r="H57" s="33">
        <f>SUMPRODUCT(Tracking[Montante], --(Tracking[Data]&lt;=Tracking[[#This Row],[Data]]), (Tracking[Tipo]&lt;&gt;"Entrada") * (-1) + (Tracking[Tipo]="Entrada"))</f>
        <v>4040</v>
      </c>
      <c r="I5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44619</v>
      </c>
    </row>
    <row r="58" spans="3:9">
      <c r="C58" s="30">
        <v>44620</v>
      </c>
      <c r="D58" s="29" t="s">
        <v>39</v>
      </c>
      <c r="E58" s="29" t="s">
        <v>32</v>
      </c>
      <c r="F58" s="31">
        <v>400</v>
      </c>
      <c r="G58" s="32"/>
      <c r="H58" s="33">
        <f>SUMPRODUCT(Tracking[Montante], --(Tracking[Data]&lt;=Tracking[[#This Row],[Data]]), (Tracking[Tipo]&lt;&gt;"Entrada") * (-1) + (Tracking[Tipo]="Entrada"))</f>
        <v>3500</v>
      </c>
      <c r="I5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44620</v>
      </c>
    </row>
    <row r="59" spans="3:9">
      <c r="C59" s="30">
        <v>44620</v>
      </c>
      <c r="D59" s="29" t="s">
        <v>39</v>
      </c>
      <c r="E59" s="29" t="s">
        <v>20</v>
      </c>
      <c r="F59" s="31">
        <v>140</v>
      </c>
      <c r="G59" s="32"/>
      <c r="H59" s="33">
        <f>SUMPRODUCT(Tracking[Montante], --(Tracking[Data]&lt;=Tracking[[#This Row],[Data]]), (Tracking[Tipo]&lt;&gt;"Entrada") * (-1) + (Tracking[Tipo]="Entrada"))</f>
        <v>3500</v>
      </c>
      <c r="I5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44620</v>
      </c>
    </row>
    <row r="60" spans="3:9">
      <c r="C60" s="30">
        <v>44621</v>
      </c>
      <c r="D60" s="29" t="s">
        <v>38</v>
      </c>
      <c r="E60" s="29" t="s">
        <v>17</v>
      </c>
      <c r="F60" s="31">
        <v>1200</v>
      </c>
      <c r="G60" s="32"/>
      <c r="H60" s="33">
        <f>SUMPRODUCT(Tracking[Montante], --(Tracking[Data]&lt;=Tracking[[#This Row],[Data]]), (Tracking[Tipo]&lt;&gt;"Entrada") * (-1) + (Tracking[Tipo]="Entrada"))</f>
        <v>2300</v>
      </c>
      <c r="I6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44621</v>
      </c>
    </row>
    <row r="61" spans="3:9">
      <c r="C61" s="30">
        <v>44622</v>
      </c>
      <c r="D61" s="29" t="s">
        <v>38</v>
      </c>
      <c r="E61" s="29" t="s">
        <v>18</v>
      </c>
      <c r="F61" s="31">
        <v>300</v>
      </c>
      <c r="G61" s="32"/>
      <c r="H61" s="33">
        <f>SUMPRODUCT(Tracking[Montante], --(Tracking[Data]&lt;=Tracking[[#This Row],[Data]]), (Tracking[Tipo]&lt;&gt;"Entrada") * (-1) + (Tracking[Tipo]="Entrada"))</f>
        <v>2000</v>
      </c>
      <c r="I61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44622</v>
      </c>
    </row>
    <row r="62" spans="3:9">
      <c r="C62" s="30">
        <v>44623</v>
      </c>
      <c r="D62" s="29" t="s">
        <v>38</v>
      </c>
      <c r="E62" s="29" t="s">
        <v>25</v>
      </c>
      <c r="F62" s="31">
        <v>60</v>
      </c>
      <c r="G62" s="32"/>
      <c r="H62" s="33">
        <f>SUMPRODUCT(Tracking[Montante], --(Tracking[Data]&lt;=Tracking[[#This Row],[Data]]), (Tracking[Tipo]&lt;&gt;"Entrada") * (-1) + (Tracking[Tipo]="Entrada"))</f>
        <v>1940</v>
      </c>
      <c r="I62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44623</v>
      </c>
    </row>
    <row r="63" spans="3:9">
      <c r="C63" s="30">
        <v>44624</v>
      </c>
      <c r="D63" s="29" t="s">
        <v>38</v>
      </c>
      <c r="E63" s="29" t="s">
        <v>27</v>
      </c>
      <c r="F63" s="31">
        <v>30</v>
      </c>
      <c r="G63" s="32"/>
      <c r="H63" s="33">
        <f>SUMPRODUCT(Tracking[Montante], --(Tracking[Data]&lt;=Tracking[[#This Row],[Data]]), (Tracking[Tipo]&lt;&gt;"Entrada") * (-1) + (Tracking[Tipo]="Entrada"))</f>
        <v>1910</v>
      </c>
      <c r="I63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44624</v>
      </c>
    </row>
    <row r="64" spans="3:9">
      <c r="C64" s="30">
        <v>44626</v>
      </c>
      <c r="D64" s="29" t="s">
        <v>38</v>
      </c>
      <c r="E64" s="29" t="s">
        <v>26</v>
      </c>
      <c r="F64" s="31">
        <v>150</v>
      </c>
      <c r="G64" s="32"/>
      <c r="H64" s="33">
        <f>SUMPRODUCT(Tracking[Montante], --(Tracking[Data]&lt;=Tracking[[#This Row],[Data]]), (Tracking[Tipo]&lt;&gt;"Entrada") * (-1) + (Tracking[Tipo]="Entrada"))</f>
        <v>1760</v>
      </c>
      <c r="I64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44626</v>
      </c>
    </row>
    <row r="65" spans="3:9">
      <c r="C65" s="30">
        <v>44627</v>
      </c>
      <c r="D65" s="29" t="s">
        <v>38</v>
      </c>
      <c r="E65" s="29" t="s">
        <v>25</v>
      </c>
      <c r="F65" s="31">
        <v>50</v>
      </c>
      <c r="G65" s="32"/>
      <c r="H65" s="33">
        <f>SUMPRODUCT(Tracking[Montante], --(Tracking[Data]&lt;=Tracking[[#This Row],[Data]]), (Tracking[Tipo]&lt;&gt;"Entrada") * (-1) + (Tracking[Tipo]="Entrada"))</f>
        <v>1710</v>
      </c>
      <c r="I65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44627</v>
      </c>
    </row>
    <row r="66" spans="3:9">
      <c r="C66" s="30">
        <v>44629</v>
      </c>
      <c r="D66" s="29" t="s">
        <v>38</v>
      </c>
      <c r="E66" s="29" t="s">
        <v>29</v>
      </c>
      <c r="F66" s="31">
        <v>120</v>
      </c>
      <c r="G66" s="32"/>
      <c r="H66" s="33">
        <f>SUMPRODUCT(Tracking[Montante], --(Tracking[Data]&lt;=Tracking[[#This Row],[Data]]), (Tracking[Tipo]&lt;&gt;"Entrada") * (-1) + (Tracking[Tipo]="Entrada"))</f>
        <v>1590</v>
      </c>
      <c r="I66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44629</v>
      </c>
    </row>
    <row r="67" spans="3:9">
      <c r="C67" s="30">
        <v>44630</v>
      </c>
      <c r="D67" s="29" t="s">
        <v>11</v>
      </c>
      <c r="E67" s="29" t="s">
        <v>15</v>
      </c>
      <c r="F67" s="31">
        <v>100</v>
      </c>
      <c r="G67" s="32"/>
      <c r="H67" s="33">
        <f>SUMPRODUCT(Tracking[Montante], --(Tracking[Data]&lt;=Tracking[[#This Row],[Data]]), (Tracking[Tipo]&lt;&gt;"Entrada") * (-1) + (Tracking[Tipo]="Entrada"))</f>
        <v>1690</v>
      </c>
      <c r="I67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44630</v>
      </c>
    </row>
    <row r="68" spans="3:9">
      <c r="C68" s="30">
        <v>44632</v>
      </c>
      <c r="D68" s="29" t="s">
        <v>38</v>
      </c>
      <c r="E68" s="29" t="s">
        <v>30</v>
      </c>
      <c r="F68" s="31">
        <v>50</v>
      </c>
      <c r="G68" s="32"/>
      <c r="H68" s="33">
        <f>SUMPRODUCT(Tracking[Montante], --(Tracking[Data]&lt;=Tracking[[#This Row],[Data]]), (Tracking[Tipo]&lt;&gt;"Entrada") * (-1) + (Tracking[Tipo]="Entrada"))</f>
        <v>1640</v>
      </c>
      <c r="I68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44632</v>
      </c>
    </row>
    <row r="69" spans="3:9">
      <c r="C69" s="30">
        <v>44633</v>
      </c>
      <c r="D69" s="29" t="s">
        <v>38</v>
      </c>
      <c r="E69" s="29" t="s">
        <v>28</v>
      </c>
      <c r="F69" s="31">
        <v>120</v>
      </c>
      <c r="G69" s="32"/>
      <c r="H69" s="33">
        <f>SUMPRODUCT(Tracking[Montante], --(Tracking[Data]&lt;=Tracking[[#This Row],[Data]]), (Tracking[Tipo]&lt;&gt;"Entrada") * (-1) + (Tracking[Tipo]="Entrada"))</f>
        <v>1520</v>
      </c>
      <c r="I69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44633</v>
      </c>
    </row>
    <row r="70" spans="3:9">
      <c r="C70" s="30">
        <v>44635</v>
      </c>
      <c r="D70" s="29" t="s">
        <v>11</v>
      </c>
      <c r="E70" s="29" t="s">
        <v>14</v>
      </c>
      <c r="F70" s="31">
        <v>1100</v>
      </c>
      <c r="G70" s="32"/>
      <c r="H70" s="33">
        <f>SUMPRODUCT(Tracking[Montante], --(Tracking[Data]&lt;=Tracking[[#This Row],[Data]]), (Tracking[Tipo]&lt;&gt;"Entrada") * (-1) + (Tracking[Tipo]="Entrada"))</f>
        <v>2620</v>
      </c>
      <c r="I70" s="42">
        <f>IF(AND(Tracking[[#This Row],[Tipo]]="Entrada", shift_late_income_status="Ativo", DAY(Tracking[[#This Row],[Data]])&gt;=shift_late_income_starting_day),
    DATE(YEAR(Tracking[[#This Row],[Data]]), MONTH(Tracking[[#This Row],[Data]])+1, 1),
    Tracking[[#This Row],[Data]])</f>
        <v>44635</v>
      </c>
    </row>
  </sheetData>
  <conditionalFormatting sqref="E12:E70">
    <cfRule type="expression" dxfId="43" priority="3">
      <formula>ISNA(MATCH(E12, INDIRECT(D12), 0))</formula>
    </cfRule>
  </conditionalFormatting>
  <conditionalFormatting sqref="F12:F70">
    <cfRule type="expression" dxfId="42" priority="2">
      <formula>D12="Entrada"</formula>
    </cfRule>
  </conditionalFormatting>
  <conditionalFormatting sqref="I12:I70">
    <cfRule type="expression" dxfId="41" priority="1">
      <formula>AND(D12="Entrada", shift_late_income_status="Ativo", DAY(C12)&gt;=shift_late_income_starting_day)</formula>
    </cfRule>
  </conditionalFormatting>
  <dataValidations count="4">
    <dataValidation type="date" operator="greaterThan" allowBlank="1" showInputMessage="1" showErrorMessage="1" errorTitle="Data inválida! " error="Por favor, informe uma data válida." sqref="C12:C70" xr:uid="{48AD6B9C-3453-4A11-BDAD-BCCA8E597963}">
      <formula1>1</formula1>
    </dataValidation>
    <dataValidation type="list" allowBlank="1" showInputMessage="1" showErrorMessage="1" errorTitle="Categoria Inválida!" error="Por favor, selecione uma categoria válida da lista suspensa." sqref="E12:E70" xr:uid="{9DE318EB-FCDC-4CF9-B702-7934B1449D66}">
      <formula1>INDIRECT(D12)</formula1>
    </dataValidation>
    <dataValidation type="list" allowBlank="1" showInputMessage="1" showErrorMessage="1" errorTitle="Tipo Inválido!" error="Por favor, selecione um tipo válido na lista suspensa." sqref="D12:D70" xr:uid="{E758B94C-A617-47E1-85E9-4521CAF91DCA}">
      <formula1>"Entrada, Saída, Investimento"</formula1>
    </dataValidation>
    <dataValidation type="custom" allowBlank="1" showInputMessage="1" showErrorMessage="1" errorTitle="Montante Inválido!" error="Por favor, informe um número válido." sqref="F12:F70" xr:uid="{A4C0B4F9-D8E8-45D1-A14D-31DFDD00C2EF}">
      <formula1>ISNUMBER(F12)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4909D-9C71-4F25-AB76-E07F1AD04930}">
  <sheetPr codeName="Sheet5">
    <tabColor rgb="FF01FF74"/>
  </sheetPr>
  <dimension ref="C1:AR52"/>
  <sheetViews>
    <sheetView showGridLines="0" workbookViewId="0">
      <selection activeCell="AX21" sqref="AX21"/>
    </sheetView>
  </sheetViews>
  <sheetFormatPr defaultRowHeight="15"/>
  <cols>
    <col min="3" max="3" width="9.140625" hidden="1" customWidth="1"/>
    <col min="4" max="4" width="12" hidden="1" customWidth="1"/>
    <col min="5" max="8" width="9.140625" hidden="1" customWidth="1"/>
    <col min="9" max="9" width="12.85546875" hidden="1" customWidth="1"/>
    <col min="10" max="10" width="35.7109375" hidden="1" customWidth="1"/>
    <col min="11" max="11" width="21.7109375" hidden="1" customWidth="1"/>
    <col min="12" max="12" width="10.5703125" hidden="1" customWidth="1"/>
    <col min="13" max="13" width="11" hidden="1" customWidth="1"/>
    <col min="14" max="14" width="11.5703125" hidden="1" customWidth="1"/>
    <col min="15" max="15" width="15.5703125" hidden="1" customWidth="1"/>
    <col min="16" max="16" width="14.28515625" hidden="1" customWidth="1"/>
    <col min="17" max="17" width="14.140625" hidden="1" customWidth="1"/>
    <col min="18" max="18" width="14.28515625" hidden="1" customWidth="1"/>
    <col min="19" max="20" width="17" hidden="1" customWidth="1"/>
    <col min="21" max="22" width="22.5703125" hidden="1" customWidth="1"/>
    <col min="23" max="23" width="18.7109375" hidden="1" customWidth="1"/>
    <col min="24" max="24" width="28.5703125" hidden="1" customWidth="1"/>
    <col min="25" max="25" width="30.7109375" customWidth="1"/>
    <col min="26" max="27" width="14.140625" customWidth="1"/>
    <col min="28" max="28" width="11.42578125" customWidth="1"/>
    <col min="29" max="30" width="14.140625" customWidth="1"/>
    <col min="31" max="31" width="2.85546875" customWidth="1"/>
    <col min="32" max="33" width="19.28515625" customWidth="1"/>
    <col min="34" max="34" width="2.28515625" customWidth="1"/>
    <col min="35" max="35" width="20" customWidth="1"/>
    <col min="36" max="36" width="10.85546875" customWidth="1"/>
    <col min="37" max="37" width="8.140625" customWidth="1"/>
    <col min="38" max="38" width="4.7109375" customWidth="1"/>
    <col min="39" max="40" width="19.28515625" customWidth="1"/>
    <col min="41" max="41" width="2.28515625" customWidth="1"/>
    <col min="42" max="42" width="20" customWidth="1"/>
    <col min="43" max="43" width="10.85546875" customWidth="1"/>
    <col min="44" max="44" width="8.140625" customWidth="1"/>
    <col min="46" max="46" width="8.42578125" bestFit="1" customWidth="1"/>
  </cols>
  <sheetData>
    <row r="1" spans="3:44" s="1" customFormat="1"/>
    <row r="2" spans="3:44" s="1" customFormat="1" ht="29.25">
      <c r="C2" s="2" t="s">
        <v>3</v>
      </c>
      <c r="Y2" s="2" t="s">
        <v>3</v>
      </c>
    </row>
    <row r="3" spans="3:44" s="1" customFormat="1"/>
    <row r="5" spans="3:44" ht="16.5">
      <c r="AQ5" s="120" t="s">
        <v>56</v>
      </c>
      <c r="AR5" s="121"/>
    </row>
    <row r="6" spans="3:44">
      <c r="AN6" s="45" t="s">
        <v>57</v>
      </c>
      <c r="AO6" s="45"/>
      <c r="AP6" s="45"/>
      <c r="AQ6" s="122">
        <v>2022</v>
      </c>
      <c r="AR6" s="122"/>
    </row>
    <row r="8" spans="3:44" ht="16.5">
      <c r="AQ8" s="120" t="s">
        <v>58</v>
      </c>
      <c r="AR8" s="121"/>
    </row>
    <row r="9" spans="3:44">
      <c r="AN9" s="45" t="s">
        <v>59</v>
      </c>
      <c r="AO9" s="45"/>
      <c r="AP9" s="45"/>
      <c r="AQ9" s="123" t="s">
        <v>63</v>
      </c>
      <c r="AR9" s="123"/>
    </row>
    <row r="11" spans="3:44" ht="16.5"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119" t="str">
        <f>"Discriminação - " &amp;
  IF(selected_period="Ano Total",
      selected_year &amp; " (Ano Total)",
      selected_period_display &amp; " " &amp; selected_year)</f>
        <v>Discriminação - 2022 (Ano Total)</v>
      </c>
      <c r="Z11" s="119"/>
      <c r="AA11" s="119"/>
      <c r="AB11" s="119"/>
      <c r="AC11" s="119"/>
      <c r="AD11" s="119"/>
      <c r="AF11" s="119" t="str">
        <f>"Resumo - " &amp;
  IF(selected_period="Ano Total",
      selected_year &amp; " (Ano Total)",
      selected_period_display &amp; " " &amp; selected_year)</f>
        <v>Resumo - 2022 (Ano Total)</v>
      </c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</row>
    <row r="12" spans="3:44">
      <c r="C12" s="53" t="s">
        <v>69</v>
      </c>
      <c r="D12" s="54" t="s">
        <v>70</v>
      </c>
      <c r="E12" s="53" t="s">
        <v>71</v>
      </c>
      <c r="F12" s="52" t="s">
        <v>72</v>
      </c>
      <c r="G12" s="52" t="s">
        <v>73</v>
      </c>
      <c r="H12" s="54" t="s">
        <v>74</v>
      </c>
      <c r="I12" s="53" t="s">
        <v>75</v>
      </c>
      <c r="J12" s="52" t="s">
        <v>76</v>
      </c>
      <c r="K12" s="52" t="s">
        <v>77</v>
      </c>
      <c r="L12" s="54" t="s">
        <v>78</v>
      </c>
      <c r="M12" s="53" t="s">
        <v>79</v>
      </c>
      <c r="N12" s="54" t="s">
        <v>80</v>
      </c>
      <c r="O12" s="53" t="s">
        <v>81</v>
      </c>
      <c r="P12" s="52" t="s">
        <v>82</v>
      </c>
      <c r="Q12" s="52" t="s">
        <v>83</v>
      </c>
      <c r="R12" s="54" t="s">
        <v>84</v>
      </c>
      <c r="S12" s="53" t="s">
        <v>85</v>
      </c>
      <c r="T12" s="52" t="s">
        <v>86</v>
      </c>
      <c r="U12" s="52" t="s">
        <v>88</v>
      </c>
      <c r="V12" s="52" t="s">
        <v>87</v>
      </c>
      <c r="W12" s="54" t="s">
        <v>89</v>
      </c>
      <c r="X12" s="64" t="s">
        <v>90</v>
      </c>
    </row>
    <row r="13" spans="3:44">
      <c r="C13" s="36">
        <f>income_header_row</f>
        <v>9</v>
      </c>
      <c r="D13" s="37">
        <f t="shared" ref="D13:D50" si="0">IF(is_header, row_id,
      IF(NOT(is_empty), D12,-1))</f>
        <v>9</v>
      </c>
      <c r="E13" s="36">
        <f>1*OR(row_id=income_header_row, row_id=expenses_header_row, row_id=savings_header_row)</f>
        <v>1</v>
      </c>
      <c r="F13">
        <f t="shared" ref="F13:F50" si="1">1*NOT(OR(is_header, is_total, is_empty))</f>
        <v>0</v>
      </c>
      <c r="G13">
        <f>1*OR(row_id=income_total_row, row_id=expenses_total_row, row_id=savings_total_row)</f>
        <v>0</v>
      </c>
      <c r="H13" s="37">
        <f t="shared" ref="H13:H50" si="2">1*OR(row_id="/1", row_id="/2", row_id=-1)</f>
        <v>0</v>
      </c>
      <c r="I13" s="36" t="str">
        <f>IFERROR(INDEX('Planejamento Orçamentário'!$C:$C, header_row_id),"")</f>
        <v>Entrada</v>
      </c>
      <c r="J13" t="str">
        <f>IFERROR(INDEX('Planejamento Orçamentário'!$C:$C, row_id),"")</f>
        <v>Entrada</v>
      </c>
      <c r="K13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13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13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13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13" s="36" t="str">
        <f t="shared" ref="O13:O50" si="3">IF(is_cat, ADDRESS(sort_min_row, COLUMN(tracked)) &amp; ":" &amp; ADDRESS(sort_max_row, COLUMN(tracked)), "")</f>
        <v/>
      </c>
      <c r="P13" t="str">
        <f t="shared" ref="P13:P50" ca="1" si="4">IF(is_cat, RANK(tracked, INDIRECT(tracked_range), 0), "")</f>
        <v/>
      </c>
      <c r="Q13" t="str">
        <f t="shared" ref="Q13:Q50" si="5">IF(is_cat, ADDRESS(sort_min_row, COLUMN(budget)) &amp; ":" &amp; ADDRESS(sort_max_row, COLUMN(budget)), "")</f>
        <v/>
      </c>
      <c r="R13" s="37" t="str">
        <f t="shared" ref="R13:R50" ca="1" si="6">IF(is_cat, RANK(budget, INDIRECT(budget_range), 0), "")</f>
        <v/>
      </c>
      <c r="S13" s="36" t="str">
        <f t="shared" ref="S13:S50" si="7">IF(is_cat, _xlfn.NUMBERVALUE(tracked_rank &amp; budget_rank), "")</f>
        <v/>
      </c>
      <c r="T13" t="str">
        <f t="shared" ref="T13:T50" si="8">IF(is_cat, ADDRESS(sort_min_row, COLUMN(comb_rank)) &amp; ":" &amp; ADDRESS(sort_max_row, COLUMN(comb_rank)), "")</f>
        <v/>
      </c>
      <c r="U13" t="str">
        <f t="shared" ref="U13:U50" ca="1" si="9">IF(is_cat, _xlfn.RANK.AVG(comb_rank, INDIRECT(comb_rank_range), 1), "")</f>
        <v/>
      </c>
      <c r="V13" t="str">
        <f t="shared" ref="V13:V50" si="10">IF(is_cat, ADDRESS(sort_min_row, COLUMN(comb_rank_norm)) &amp; ":" &amp; ADDRESS(ROW(), COLUMN(comb_rank_norm)), "")</f>
        <v/>
      </c>
      <c r="W13" s="37" t="str">
        <f t="shared" ref="W13:W50" ca="1" si="11">IF(is_cat, comb_rank_norm + COUNTIF(INDIRECT(comb_rank_norm_run_range), comb_rank_norm)-1, "")</f>
        <v/>
      </c>
      <c r="X13" s="65">
        <f t="shared" ref="X13:X50" si="12">IF(is_cat, header_row_id + comb_rank_unique, row_id)</f>
        <v>9</v>
      </c>
      <c r="Y13" s="70" t="str">
        <f t="shared" ref="Y13:Y50" si="13">IF(is_empty, "", INDEX($J:$J, MATCH(row_id, $X:$X, 0)))</f>
        <v>Entrada</v>
      </c>
      <c r="Z13" s="71" t="str">
        <f t="shared" ref="Z13:Z50" si="14">IF(is_empty, "", IF(is_header, "Rastreado", INDEX($K:$K, MATCH(row_id, $X:$X, 0))))</f>
        <v>Rastreado</v>
      </c>
      <c r="AA13" s="71" t="str">
        <f t="shared" ref="AA13:AA50" si="15">IF(is_empty, "", IF(is_header, "Orçamento", INDEX($L:$L, MATCH(row_id, $X:$X, 0))))</f>
        <v>Orçamento</v>
      </c>
      <c r="AB13" s="72" t="str">
        <f t="shared" ref="AB13:AB50" si="16">IF(is_empty, "", IF(is_header, "%Compl.", IFERROR(out_tracked / out_budget, "-")))</f>
        <v>%Compl.</v>
      </c>
      <c r="AC13" s="71" t="str">
        <f t="shared" ref="AC13:AC50" si="17">IF(is_empty, "", IF(is_header, "Restante", IF(out_budget - out_tracked &gt; 0, out_budget - out_tracked, 0)))</f>
        <v>Restante</v>
      </c>
      <c r="AD13" s="71" t="str">
        <f t="shared" ref="AD13:AD50" si="18">IF(is_empty, "", IF(is_header, "Excedente", IF(out_budget - out_tracked &lt; 0, out_tracked - out_budget, 0)))</f>
        <v>Excedente</v>
      </c>
      <c r="AE13" s="68"/>
      <c r="AF13" s="76"/>
      <c r="AG13" s="77"/>
      <c r="AH13" s="77"/>
      <c r="AI13" s="77"/>
      <c r="AJ13" s="77"/>
      <c r="AK13" s="78"/>
      <c r="AM13" s="76"/>
      <c r="AN13" s="77"/>
      <c r="AO13" s="77"/>
      <c r="AP13" s="77"/>
      <c r="AQ13" s="77"/>
      <c r="AR13" s="78"/>
    </row>
    <row r="14" spans="3:44">
      <c r="C14" s="36">
        <f>IF(C13=-1,-1,
      IF(C13&lt;income_max_row, C13+1,
         IF(C13=income_max_row, income_total_row,
            IF(C13=income_total_row, "/1",
                IF(C13="/1", expenses_header_row,
                    IF(C13&lt;expenses_max_row, C13+1,
                        IF(C13=expenses_max_row, expenses_total_row,
                            IF(C13=expenses_total_row, "/2",
                                IF(C13="/2", savings_header_row,
                                    IF(C13&lt;savings_max_row, C13+1,
                                        IF(C13=savings_max_row, savings_total_row, -1)))))))))))</f>
        <v>10</v>
      </c>
      <c r="D14" s="37">
        <f t="shared" si="0"/>
        <v>9</v>
      </c>
      <c r="E14" s="36">
        <f>1*OR(row_id=income_header_row, row_id=expenses_header_row, row_id=savings_header_row)</f>
        <v>0</v>
      </c>
      <c r="F14">
        <f t="shared" si="1"/>
        <v>1</v>
      </c>
      <c r="G14">
        <f>1*OR(row_id=income_total_row, row_id=expenses_total_row, row_id=savings_total_row)</f>
        <v>0</v>
      </c>
      <c r="H14" s="37">
        <f t="shared" si="2"/>
        <v>0</v>
      </c>
      <c r="I14" s="36" t="str">
        <f>IFERROR(INDEX('Planejamento Orçamentário'!$C:$C, header_row_id),"")</f>
        <v>Entrada</v>
      </c>
      <c r="J14" t="str">
        <f>IFERROR(INDEX('Planejamento Orçamentário'!$C:$C, row_id),"")</f>
        <v>Trabalho</v>
      </c>
      <c r="K14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10500</v>
      </c>
      <c r="L14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51000</v>
      </c>
      <c r="M14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14</v>
      </c>
      <c r="N14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16</v>
      </c>
      <c r="O14" s="36" t="str">
        <f t="shared" si="3"/>
        <v>$K$14:$K$16</v>
      </c>
      <c r="P14">
        <f t="shared" ca="1" si="4"/>
        <v>1</v>
      </c>
      <c r="Q14" t="str">
        <f t="shared" si="5"/>
        <v>$L$14:$L$16</v>
      </c>
      <c r="R14" s="37">
        <f t="shared" ca="1" si="6"/>
        <v>1</v>
      </c>
      <c r="S14" s="36">
        <f t="shared" ca="1" si="7"/>
        <v>11</v>
      </c>
      <c r="T14" t="str">
        <f t="shared" si="8"/>
        <v>$S$14:$S$16</v>
      </c>
      <c r="U14">
        <f t="shared" ca="1" si="9"/>
        <v>1</v>
      </c>
      <c r="V14" t="str">
        <f t="shared" si="10"/>
        <v>$U$14:$U$14</v>
      </c>
      <c r="W14" s="37">
        <f t="shared" ca="1" si="11"/>
        <v>1</v>
      </c>
      <c r="X14" s="65">
        <f t="shared" ca="1" si="12"/>
        <v>10</v>
      </c>
      <c r="Y14" s="66" t="str">
        <f t="shared" ca="1" si="13"/>
        <v>Trabalho</v>
      </c>
      <c r="Z14" s="69">
        <f t="shared" ca="1" si="14"/>
        <v>10500</v>
      </c>
      <c r="AA14" s="69">
        <f t="shared" ca="1" si="15"/>
        <v>51000</v>
      </c>
      <c r="AB14" s="67">
        <f t="shared" ca="1" si="16"/>
        <v>0.20588235294117646</v>
      </c>
      <c r="AC14" s="69">
        <f t="shared" ca="1" si="17"/>
        <v>40500</v>
      </c>
      <c r="AD14" s="69">
        <f t="shared" ca="1" si="18"/>
        <v>0</v>
      </c>
      <c r="AE14" s="68"/>
      <c r="AF14" s="36"/>
      <c r="AK14" s="37"/>
      <c r="AM14" s="36"/>
      <c r="AR14" s="37"/>
    </row>
    <row r="15" spans="3:44">
      <c r="C15" s="36">
        <f>IF(C14=-1,-1,
      IF(C14&lt;income_max_row, C14+1,
         IF(C14=income_max_row, income_total_row,
            IF(C14=income_total_row, "/1",
                IF(C14="/1", expenses_header_row,
                    IF(C14&lt;expenses_max_row, C14+1,
                        IF(C14=expenses_max_row, expenses_total_row,
                            IF(C14=expenses_total_row, "/2",
                                IF(C14="/2", savings_header_row,
                                    IF(C14&lt;savings_max_row, C14+1,
                                        IF(C14=savings_max_row, savings_total_row, -1)))))))))))</f>
        <v>11</v>
      </c>
      <c r="D15" s="37">
        <f t="shared" si="0"/>
        <v>9</v>
      </c>
      <c r="E15" s="36">
        <f>1*OR(row_id=income_header_row, row_id=expenses_header_row, row_id=savings_header_row)</f>
        <v>0</v>
      </c>
      <c r="F15">
        <f t="shared" si="1"/>
        <v>1</v>
      </c>
      <c r="G15">
        <f>1*OR(row_id=income_total_row, row_id=expenses_total_row, row_id=savings_total_row)</f>
        <v>0</v>
      </c>
      <c r="H15" s="37">
        <f t="shared" si="2"/>
        <v>0</v>
      </c>
      <c r="I15" s="36" t="str">
        <f>IFERROR(INDEX('Planejamento Orçamentário'!$C:$C, header_row_id),"")</f>
        <v>Entrada</v>
      </c>
      <c r="J15" t="str">
        <f>IFERROR(INDEX('Planejamento Orçamentário'!$C:$C, row_id),"")</f>
        <v>Freelance</v>
      </c>
      <c r="K15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2800</v>
      </c>
      <c r="L15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12000</v>
      </c>
      <c r="M15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14</v>
      </c>
      <c r="N15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16</v>
      </c>
      <c r="O15" s="36" t="str">
        <f t="shared" si="3"/>
        <v>$K$14:$K$16</v>
      </c>
      <c r="P15">
        <f t="shared" ca="1" si="4"/>
        <v>2</v>
      </c>
      <c r="Q15" t="str">
        <f t="shared" si="5"/>
        <v>$L$14:$L$16</v>
      </c>
      <c r="R15" s="37">
        <f t="shared" ca="1" si="6"/>
        <v>2</v>
      </c>
      <c r="S15" s="36">
        <f t="shared" ca="1" si="7"/>
        <v>22</v>
      </c>
      <c r="T15" t="str">
        <f t="shared" si="8"/>
        <v>$S$14:$S$16</v>
      </c>
      <c r="U15">
        <f t="shared" ca="1" si="9"/>
        <v>2</v>
      </c>
      <c r="V15" t="str">
        <f t="shared" si="10"/>
        <v>$U$14:$U$15</v>
      </c>
      <c r="W15" s="37">
        <f t="shared" ca="1" si="11"/>
        <v>2</v>
      </c>
      <c r="X15" s="65">
        <f t="shared" ca="1" si="12"/>
        <v>11</v>
      </c>
      <c r="Y15" s="66" t="str">
        <f t="shared" ca="1" si="13"/>
        <v>Freelance</v>
      </c>
      <c r="Z15" s="69">
        <f t="shared" ca="1" si="14"/>
        <v>2800</v>
      </c>
      <c r="AA15" s="69">
        <f t="shared" ca="1" si="15"/>
        <v>12000</v>
      </c>
      <c r="AB15" s="67">
        <f t="shared" ca="1" si="16"/>
        <v>0.23333333333333334</v>
      </c>
      <c r="AC15" s="69">
        <f t="shared" ca="1" si="17"/>
        <v>9200</v>
      </c>
      <c r="AD15" s="69">
        <f t="shared" ca="1" si="18"/>
        <v>0</v>
      </c>
      <c r="AE15" s="68"/>
      <c r="AF15" s="36"/>
      <c r="AK15" s="37"/>
      <c r="AM15" s="36"/>
      <c r="AR15" s="37"/>
    </row>
    <row r="16" spans="3:44">
      <c r="C16" s="36">
        <f>IF(C15=-1,-1,
      IF(C15&lt;income_max_row, C15+1,
         IF(C15=income_max_row, income_total_row,
            IF(C15=income_total_row, "/1",
                IF(C15="/1", expenses_header_row,
                    IF(C15&lt;expenses_max_row, C15+1,
                        IF(C15=expenses_max_row, expenses_total_row,
                            IF(C15=expenses_total_row, "/2",
                                IF(C15="/2", savings_header_row,
                                    IF(C15&lt;savings_max_row, C15+1,
                                        IF(C15=savings_max_row, savings_total_row, -1)))))))))))</f>
        <v>12</v>
      </c>
      <c r="D16" s="37">
        <f t="shared" si="0"/>
        <v>9</v>
      </c>
      <c r="E16" s="36">
        <f>1*OR(row_id=income_header_row, row_id=expenses_header_row, row_id=savings_header_row)</f>
        <v>0</v>
      </c>
      <c r="F16">
        <f t="shared" si="1"/>
        <v>1</v>
      </c>
      <c r="G16">
        <f>1*OR(row_id=income_total_row, row_id=expenses_total_row, row_id=savings_total_row)</f>
        <v>0</v>
      </c>
      <c r="H16" s="37">
        <f t="shared" si="2"/>
        <v>0</v>
      </c>
      <c r="I16" s="36" t="str">
        <f>IFERROR(INDEX('Planejamento Orçamentário'!$C:$C, header_row_id),"")</f>
        <v>Entrada</v>
      </c>
      <c r="J16" t="str">
        <f>IFERROR(INDEX('Planejamento Orçamentário'!$C:$C, row_id),"")</f>
        <v>Dividendos</v>
      </c>
      <c r="K16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300</v>
      </c>
      <c r="L16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1200</v>
      </c>
      <c r="M16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14</v>
      </c>
      <c r="N16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16</v>
      </c>
      <c r="O16" s="36" t="str">
        <f t="shared" si="3"/>
        <v>$K$14:$K$16</v>
      </c>
      <c r="P16">
        <f t="shared" ca="1" si="4"/>
        <v>3</v>
      </c>
      <c r="Q16" t="str">
        <f t="shared" si="5"/>
        <v>$L$14:$L$16</v>
      </c>
      <c r="R16" s="37">
        <f t="shared" ca="1" si="6"/>
        <v>3</v>
      </c>
      <c r="S16" s="36">
        <f t="shared" ca="1" si="7"/>
        <v>33</v>
      </c>
      <c r="T16" t="str">
        <f t="shared" si="8"/>
        <v>$S$14:$S$16</v>
      </c>
      <c r="U16">
        <f t="shared" ca="1" si="9"/>
        <v>3</v>
      </c>
      <c r="V16" t="str">
        <f t="shared" si="10"/>
        <v>$U$14:$U$16</v>
      </c>
      <c r="W16" s="37">
        <f t="shared" ca="1" si="11"/>
        <v>3</v>
      </c>
      <c r="X16" s="65">
        <f t="shared" ca="1" si="12"/>
        <v>12</v>
      </c>
      <c r="Y16" s="66" t="str">
        <f t="shared" ca="1" si="13"/>
        <v>Dividendos</v>
      </c>
      <c r="Z16" s="69">
        <f t="shared" ca="1" si="14"/>
        <v>300</v>
      </c>
      <c r="AA16" s="69">
        <f t="shared" ca="1" si="15"/>
        <v>1200</v>
      </c>
      <c r="AB16" s="67">
        <f t="shared" ca="1" si="16"/>
        <v>0.25</v>
      </c>
      <c r="AC16" s="69">
        <f t="shared" ca="1" si="17"/>
        <v>900</v>
      </c>
      <c r="AD16" s="69">
        <f t="shared" ca="1" si="18"/>
        <v>0</v>
      </c>
      <c r="AE16" s="68"/>
      <c r="AF16" s="36"/>
      <c r="AI16" s="88" t="str">
        <f ca="1">Cálculos!E35</f>
        <v>Trabalho</v>
      </c>
      <c r="AJ16" s="89">
        <f ca="1">Cálculos!F35</f>
        <v>10500</v>
      </c>
      <c r="AK16" s="37"/>
      <c r="AM16" s="36"/>
      <c r="AR16" s="37"/>
    </row>
    <row r="17" spans="3:44">
      <c r="C17" s="36">
        <f>IF(C16=-1,-1,
      IF(C16&lt;income_max_row, C16+1,
         IF(C16=income_max_row, income_total_row,
            IF(C16=income_total_row, "/1",
                IF(C16="/1", expenses_header_row,
                    IF(C16&lt;expenses_max_row, C16+1,
                        IF(C16=expenses_max_row, expenses_total_row,
                            IF(C16=expenses_total_row, "/2",
                                IF(C16="/2", savings_header_row,
                                    IF(C16&lt;savings_max_row, C16+1,
                                        IF(C16=savings_max_row, savings_total_row, -1)))))))))))</f>
        <v>20</v>
      </c>
      <c r="D17" s="37">
        <f t="shared" si="0"/>
        <v>9</v>
      </c>
      <c r="E17" s="36">
        <f>1*OR(row_id=income_header_row, row_id=expenses_header_row, row_id=savings_header_row)</f>
        <v>0</v>
      </c>
      <c r="F17">
        <f t="shared" si="1"/>
        <v>0</v>
      </c>
      <c r="G17">
        <f>1*OR(row_id=income_total_row, row_id=expenses_total_row, row_id=savings_total_row)</f>
        <v>1</v>
      </c>
      <c r="H17" s="37">
        <f t="shared" si="2"/>
        <v>0</v>
      </c>
      <c r="I17" s="36" t="str">
        <f>IFERROR(INDEX('Planejamento Orçamentário'!$C:$C, header_row_id),"")</f>
        <v>Entrada</v>
      </c>
      <c r="J17" t="str">
        <f>IFERROR(INDEX('Planejamento Orçamentário'!$C:$C, row_id),"")</f>
        <v>Total</v>
      </c>
      <c r="K17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13600</v>
      </c>
      <c r="L17" s="63">
        <f ca="1">IF(OR(is_header, is_empty), "",
      INDEX('Planejamento Orçamentário'!$E:$EM, row_id,
                   MATCH(IF(selected_period="Ano Total", selected_year, DATE(selected_year, selected_period, 1)), 'Planejamento Orçamentário'!$E$9:$EM$9, 0) ))</f>
        <v>64200</v>
      </c>
      <c r="M17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17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17" s="36" t="str">
        <f t="shared" si="3"/>
        <v/>
      </c>
      <c r="P17" t="str">
        <f t="shared" ca="1" si="4"/>
        <v/>
      </c>
      <c r="Q17" t="str">
        <f t="shared" si="5"/>
        <v/>
      </c>
      <c r="R17" s="37" t="str">
        <f t="shared" ca="1" si="6"/>
        <v/>
      </c>
      <c r="S17" s="36" t="str">
        <f t="shared" si="7"/>
        <v/>
      </c>
      <c r="T17" t="str">
        <f t="shared" si="8"/>
        <v/>
      </c>
      <c r="U17" t="str">
        <f t="shared" ca="1" si="9"/>
        <v/>
      </c>
      <c r="V17" t="str">
        <f t="shared" si="10"/>
        <v/>
      </c>
      <c r="W17" s="37" t="str">
        <f t="shared" ca="1" si="11"/>
        <v/>
      </c>
      <c r="X17" s="65">
        <f t="shared" si="12"/>
        <v>20</v>
      </c>
      <c r="Y17" s="66" t="str">
        <f t="shared" ca="1" si="13"/>
        <v>Total</v>
      </c>
      <c r="Z17" s="69">
        <f t="shared" ca="1" si="14"/>
        <v>13600</v>
      </c>
      <c r="AA17" s="69">
        <f t="shared" ca="1" si="15"/>
        <v>64200</v>
      </c>
      <c r="AB17" s="67">
        <f t="shared" ca="1" si="16"/>
        <v>0.21183800623052959</v>
      </c>
      <c r="AC17" s="69">
        <f t="shared" ca="1" si="17"/>
        <v>50600</v>
      </c>
      <c r="AD17" s="69">
        <f t="shared" ca="1" si="18"/>
        <v>0</v>
      </c>
      <c r="AE17" s="68"/>
      <c r="AF17" s="36"/>
      <c r="AI17" s="88" t="str">
        <f ca="1">Cálculos!E36</f>
        <v>Freelance</v>
      </c>
      <c r="AJ17" s="89">
        <f ca="1">Cálculos!F36</f>
        <v>2800</v>
      </c>
      <c r="AK17" s="37"/>
      <c r="AM17" s="36"/>
      <c r="AR17" s="37"/>
    </row>
    <row r="18" spans="3:44">
      <c r="C18" s="36" t="str">
        <f>IF(C17=-1,-1,
      IF(C17&lt;income_max_row, C17+1,
         IF(C17=income_max_row, income_total_row,
            IF(C17=income_total_row, "/1",
                IF(C17="/1", expenses_header_row,
                    IF(C17&lt;expenses_max_row, C17+1,
                        IF(C17=expenses_max_row, expenses_total_row,
                            IF(C17=expenses_total_row, "/2",
                                IF(C17="/2", savings_header_row,
                                    IF(C17&lt;savings_max_row, C17+1,
                                        IF(C17=savings_max_row, savings_total_row, -1)))))))))))</f>
        <v>/1</v>
      </c>
      <c r="D18" s="37">
        <f t="shared" si="0"/>
        <v>-1</v>
      </c>
      <c r="E18" s="36">
        <f>1*OR(row_id=income_header_row, row_id=expenses_header_row, row_id=savings_header_row)</f>
        <v>0</v>
      </c>
      <c r="F18">
        <f t="shared" si="1"/>
        <v>0</v>
      </c>
      <c r="G18">
        <f>1*OR(row_id=income_total_row, row_id=expenses_total_row, row_id=savings_total_row)</f>
        <v>0</v>
      </c>
      <c r="H18" s="37">
        <f t="shared" si="2"/>
        <v>1</v>
      </c>
      <c r="I18" s="36" t="str">
        <f>IFERROR(INDEX('Planejamento Orçamentário'!$C:$C, header_row_id),"")</f>
        <v/>
      </c>
      <c r="J18" t="str">
        <f>IFERROR(INDEX('Planejamento Orçamentário'!$C:$C, row_id),"")</f>
        <v/>
      </c>
      <c r="K18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18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18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18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18" s="36" t="str">
        <f t="shared" si="3"/>
        <v/>
      </c>
      <c r="P18" t="str">
        <f t="shared" ca="1" si="4"/>
        <v/>
      </c>
      <c r="Q18" t="str">
        <f t="shared" si="5"/>
        <v/>
      </c>
      <c r="R18" s="37" t="str">
        <f t="shared" ca="1" si="6"/>
        <v/>
      </c>
      <c r="S18" s="36" t="str">
        <f t="shared" si="7"/>
        <v/>
      </c>
      <c r="T18" t="str">
        <f t="shared" si="8"/>
        <v/>
      </c>
      <c r="U18" t="str">
        <f t="shared" ca="1" si="9"/>
        <v/>
      </c>
      <c r="V18" t="str">
        <f t="shared" si="10"/>
        <v/>
      </c>
      <c r="W18" s="37" t="str">
        <f t="shared" ca="1" si="11"/>
        <v/>
      </c>
      <c r="X18" s="65" t="str">
        <f t="shared" si="12"/>
        <v>/1</v>
      </c>
      <c r="Y18" s="66" t="str">
        <f t="shared" si="13"/>
        <v/>
      </c>
      <c r="Z18" s="69" t="str">
        <f t="shared" si="14"/>
        <v/>
      </c>
      <c r="AA18" s="69" t="str">
        <f t="shared" si="15"/>
        <v/>
      </c>
      <c r="AB18" s="67" t="str">
        <f t="shared" si="16"/>
        <v/>
      </c>
      <c r="AC18" s="69" t="str">
        <f t="shared" si="17"/>
        <v/>
      </c>
      <c r="AD18" s="69" t="str">
        <f t="shared" si="18"/>
        <v/>
      </c>
      <c r="AE18" s="68"/>
      <c r="AF18" s="36"/>
      <c r="AI18" s="88" t="str">
        <f ca="1">Cálculos!E37</f>
        <v>Dividendos</v>
      </c>
      <c r="AJ18" s="89">
        <f ca="1">Cálculos!F37</f>
        <v>300</v>
      </c>
      <c r="AK18" s="37"/>
      <c r="AM18" s="36"/>
      <c r="AR18" s="37"/>
    </row>
    <row r="19" spans="3:44">
      <c r="C19" s="36">
        <f>IF(C18=-1,-1,
      IF(C18&lt;income_max_row, C18+1,
         IF(C18=income_max_row, income_total_row,
            IF(C18=income_total_row, "/1",
                IF(C18="/1", expenses_header_row,
                    IF(C18&lt;expenses_max_row, C18+1,
                        IF(C18=expenses_max_row, expenses_total_row,
                            IF(C18=expenses_total_row, "/2",
                                IF(C18="/2", savings_header_row,
                                    IF(C18&lt;savings_max_row, C18+1,
                                        IF(C18=savings_max_row, savings_total_row, -1)))))))))))</f>
        <v>22</v>
      </c>
      <c r="D19" s="37">
        <f t="shared" si="0"/>
        <v>22</v>
      </c>
      <c r="E19" s="36">
        <f>1*OR(row_id=income_header_row, row_id=expenses_header_row, row_id=savings_header_row)</f>
        <v>1</v>
      </c>
      <c r="F19">
        <f t="shared" si="1"/>
        <v>0</v>
      </c>
      <c r="G19">
        <f>1*OR(row_id=income_total_row, row_id=expenses_total_row, row_id=savings_total_row)</f>
        <v>0</v>
      </c>
      <c r="H19" s="37">
        <f t="shared" si="2"/>
        <v>0</v>
      </c>
      <c r="I19" s="36" t="str">
        <f>IFERROR(INDEX('Planejamento Orçamentário'!$C:$C, header_row_id),"")</f>
        <v>Saída</v>
      </c>
      <c r="J19" t="str">
        <f>IFERROR(INDEX('Planejamento Orçamentário'!$C:$C, row_id),"")</f>
        <v>Saída</v>
      </c>
      <c r="K19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19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19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19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19" s="36" t="str">
        <f t="shared" si="3"/>
        <v/>
      </c>
      <c r="P19" t="str">
        <f t="shared" ca="1" si="4"/>
        <v/>
      </c>
      <c r="Q19" t="str">
        <f t="shared" si="5"/>
        <v/>
      </c>
      <c r="R19" s="37" t="str">
        <f t="shared" ca="1" si="6"/>
        <v/>
      </c>
      <c r="S19" s="36" t="str">
        <f t="shared" si="7"/>
        <v/>
      </c>
      <c r="T19" t="str">
        <f t="shared" si="8"/>
        <v/>
      </c>
      <c r="U19" t="str">
        <f t="shared" ca="1" si="9"/>
        <v/>
      </c>
      <c r="V19" t="str">
        <f t="shared" si="10"/>
        <v/>
      </c>
      <c r="W19" s="37" t="str">
        <f t="shared" ca="1" si="11"/>
        <v/>
      </c>
      <c r="X19" s="65">
        <f t="shared" si="12"/>
        <v>22</v>
      </c>
      <c r="Y19" s="73" t="str">
        <f t="shared" ca="1" si="13"/>
        <v>Saída</v>
      </c>
      <c r="Z19" s="74" t="str">
        <f t="shared" si="14"/>
        <v>Rastreado</v>
      </c>
      <c r="AA19" s="74" t="str">
        <f t="shared" si="15"/>
        <v>Orçamento</v>
      </c>
      <c r="AB19" s="75" t="str">
        <f t="shared" si="16"/>
        <v>%Compl.</v>
      </c>
      <c r="AC19" s="74" t="str">
        <f t="shared" si="17"/>
        <v>Restante</v>
      </c>
      <c r="AD19" s="74" t="str">
        <f t="shared" si="18"/>
        <v>Excedente</v>
      </c>
      <c r="AE19" s="68"/>
      <c r="AF19" s="36"/>
      <c r="AI19" s="88" t="str">
        <f>Cálculos!E38</f>
        <v/>
      </c>
      <c r="AJ19" s="89" t="str">
        <f>Cálculos!F38</f>
        <v/>
      </c>
      <c r="AK19" s="37"/>
      <c r="AM19" s="36"/>
      <c r="AR19" s="37"/>
    </row>
    <row r="20" spans="3:44">
      <c r="C20" s="36">
        <f>IF(C19=-1,-1,
      IF(C19&lt;income_max_row, C19+1,
         IF(C19=income_max_row, income_total_row,
            IF(C19=income_total_row, "/1",
                IF(C19="/1", expenses_header_row,
                    IF(C19&lt;expenses_max_row, C19+1,
                        IF(C19=expenses_max_row, expenses_total_row,
                            IF(C19=expenses_total_row, "/2",
                                IF(C19="/2", savings_header_row,
                                    IF(C19&lt;savings_max_row, C19+1,
                                        IF(C19=savings_max_row, savings_total_row, -1)))))))))))</f>
        <v>23</v>
      </c>
      <c r="D20" s="37">
        <f t="shared" si="0"/>
        <v>22</v>
      </c>
      <c r="E20" s="36">
        <f>1*OR(row_id=income_header_row, row_id=expenses_header_row, row_id=savings_header_row)</f>
        <v>0</v>
      </c>
      <c r="F20">
        <f t="shared" si="1"/>
        <v>1</v>
      </c>
      <c r="G20">
        <f>1*OR(row_id=income_total_row, row_id=expenses_total_row, row_id=savings_total_row)</f>
        <v>0</v>
      </c>
      <c r="H20" s="37">
        <f t="shared" si="2"/>
        <v>0</v>
      </c>
      <c r="I20" s="36" t="str">
        <f>IFERROR(INDEX('Planejamento Orçamentário'!$C:$C, header_row_id),"")</f>
        <v>Saída</v>
      </c>
      <c r="J20" t="str">
        <f>IFERROR(INDEX('Planejamento Orçamentário'!$C:$C, row_id),"")</f>
        <v>Faculdade</v>
      </c>
      <c r="K20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360</v>
      </c>
      <c r="L20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14400</v>
      </c>
      <c r="M20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0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0" s="36" t="str">
        <f t="shared" si="3"/>
        <v>$K$20:$K$28</v>
      </c>
      <c r="P20">
        <f t="shared" ca="1" si="4"/>
        <v>8</v>
      </c>
      <c r="Q20" t="str">
        <f t="shared" si="5"/>
        <v>$L$20:$L$28</v>
      </c>
      <c r="R20" s="37">
        <f t="shared" ca="1" si="6"/>
        <v>1</v>
      </c>
      <c r="S20" s="36">
        <f t="shared" ca="1" si="7"/>
        <v>81</v>
      </c>
      <c r="T20" t="str">
        <f t="shared" si="8"/>
        <v>$S$20:$S$28</v>
      </c>
      <c r="U20">
        <f t="shared" ca="1" si="9"/>
        <v>8</v>
      </c>
      <c r="V20" t="str">
        <f t="shared" si="10"/>
        <v>$U$20:$U$20</v>
      </c>
      <c r="W20" s="37">
        <f t="shared" ca="1" si="11"/>
        <v>8</v>
      </c>
      <c r="X20" s="65">
        <f t="shared" ca="1" si="12"/>
        <v>30</v>
      </c>
      <c r="Y20" s="66" t="str">
        <f t="shared" ca="1" si="13"/>
        <v>Aluguel</v>
      </c>
      <c r="Z20" s="69">
        <f t="shared" ca="1" si="14"/>
        <v>2400</v>
      </c>
      <c r="AA20" s="69">
        <f t="shared" ca="1" si="15"/>
        <v>3600</v>
      </c>
      <c r="AB20" s="67">
        <f t="shared" ca="1" si="16"/>
        <v>0.66666666666666663</v>
      </c>
      <c r="AC20" s="69">
        <f t="shared" ca="1" si="17"/>
        <v>1200</v>
      </c>
      <c r="AD20" s="69">
        <f t="shared" ca="1" si="18"/>
        <v>0</v>
      </c>
      <c r="AE20" s="68"/>
      <c r="AF20" s="36"/>
      <c r="AI20" s="88" t="str">
        <f>Cálculos!E39</f>
        <v/>
      </c>
      <c r="AJ20" s="89" t="str">
        <f>Cálculos!F39</f>
        <v/>
      </c>
      <c r="AK20" s="37"/>
      <c r="AM20" s="36"/>
      <c r="AR20" s="37"/>
    </row>
    <row r="21" spans="3:44">
      <c r="C21" s="36">
        <f>IF(C20=-1,-1,
      IF(C20&lt;income_max_row, C20+1,
         IF(C20=income_max_row, income_total_row,
            IF(C20=income_total_row, "/1",
                IF(C20="/1", expenses_header_row,
                    IF(C20&lt;expenses_max_row, C20+1,
                        IF(C20=expenses_max_row, expenses_total_row,
                            IF(C20=expenses_total_row, "/2",
                                IF(C20="/2", savings_header_row,
                                    IF(C20&lt;savings_max_row, C20+1,
                                        IF(C20=savings_max_row, savings_total_row, -1)))))))))))</f>
        <v>24</v>
      </c>
      <c r="D21" s="37">
        <f t="shared" si="0"/>
        <v>22</v>
      </c>
      <c r="E21" s="36">
        <f>1*OR(row_id=income_header_row, row_id=expenses_header_row, row_id=savings_header_row)</f>
        <v>0</v>
      </c>
      <c r="F21">
        <f t="shared" si="1"/>
        <v>1</v>
      </c>
      <c r="G21">
        <f>1*OR(row_id=income_total_row, row_id=expenses_total_row, row_id=savings_total_row)</f>
        <v>0</v>
      </c>
      <c r="H21" s="37">
        <f t="shared" si="2"/>
        <v>0</v>
      </c>
      <c r="I21" s="36" t="str">
        <f>IFERROR(INDEX('Planejamento Orçamentário'!$C:$C, header_row_id),"")</f>
        <v>Saída</v>
      </c>
      <c r="J21" t="str">
        <f>IFERROR(INDEX('Planejamento Orçamentário'!$C:$C, row_id),"")</f>
        <v>Aluguel</v>
      </c>
      <c r="K21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2400</v>
      </c>
      <c r="L21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3600</v>
      </c>
      <c r="M21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1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1" s="36" t="str">
        <f t="shared" si="3"/>
        <v>$K$20:$K$28</v>
      </c>
      <c r="P21">
        <f t="shared" ca="1" si="4"/>
        <v>1</v>
      </c>
      <c r="Q21" t="str">
        <f t="shared" si="5"/>
        <v>$L$20:$L$28</v>
      </c>
      <c r="R21" s="37">
        <f t="shared" ca="1" si="6"/>
        <v>4</v>
      </c>
      <c r="S21" s="36">
        <f t="shared" ca="1" si="7"/>
        <v>14</v>
      </c>
      <c r="T21" t="str">
        <f t="shared" si="8"/>
        <v>$S$20:$S$28</v>
      </c>
      <c r="U21">
        <f t="shared" ca="1" si="9"/>
        <v>1</v>
      </c>
      <c r="V21" t="str">
        <f t="shared" si="10"/>
        <v>$U$20:$U$21</v>
      </c>
      <c r="W21" s="37">
        <f t="shared" ca="1" si="11"/>
        <v>1</v>
      </c>
      <c r="X21" s="65">
        <f t="shared" ca="1" si="12"/>
        <v>23</v>
      </c>
      <c r="Y21" s="66" t="str">
        <f t="shared" ca="1" si="13"/>
        <v>Energia Elétrica</v>
      </c>
      <c r="Z21" s="69">
        <f t="shared" ca="1" si="14"/>
        <v>1800</v>
      </c>
      <c r="AA21" s="69">
        <f t="shared" ca="1" si="15"/>
        <v>4200</v>
      </c>
      <c r="AB21" s="67">
        <f t="shared" ca="1" si="16"/>
        <v>0.42857142857142855</v>
      </c>
      <c r="AC21" s="69">
        <f t="shared" ca="1" si="17"/>
        <v>2400</v>
      </c>
      <c r="AD21" s="69">
        <f t="shared" ca="1" si="18"/>
        <v>0</v>
      </c>
      <c r="AE21" s="68"/>
      <c r="AF21" s="36"/>
      <c r="AI21" s="88" t="str">
        <f ca="1">Cálculos!E40</f>
        <v/>
      </c>
      <c r="AJ21" s="89" t="str">
        <f ca="1">Cálculos!F40</f>
        <v/>
      </c>
      <c r="AK21" s="37"/>
      <c r="AM21" s="36"/>
      <c r="AR21" s="37"/>
    </row>
    <row r="22" spans="3:44">
      <c r="C22" s="36">
        <f>IF(C21=-1,-1,
      IF(C21&lt;income_max_row, C21+1,
         IF(C21=income_max_row, income_total_row,
            IF(C21=income_total_row, "/1",
                IF(C21="/1", expenses_header_row,
                    IF(C21&lt;expenses_max_row, C21+1,
                        IF(C21=expenses_max_row, expenses_total_row,
                            IF(C21=expenses_total_row, "/2",
                                IF(C21="/2", savings_header_row,
                                    IF(C21&lt;savings_max_row, C21+1,
                                        IF(C21=savings_max_row, savings_total_row, -1)))))))))))</f>
        <v>25</v>
      </c>
      <c r="D22" s="37">
        <f t="shared" si="0"/>
        <v>22</v>
      </c>
      <c r="E22" s="36">
        <f>1*OR(row_id=income_header_row, row_id=expenses_header_row, row_id=savings_header_row)</f>
        <v>0</v>
      </c>
      <c r="F22">
        <f t="shared" si="1"/>
        <v>1</v>
      </c>
      <c r="G22">
        <f>1*OR(row_id=income_total_row, row_id=expenses_total_row, row_id=savings_total_row)</f>
        <v>0</v>
      </c>
      <c r="H22" s="37">
        <f t="shared" si="2"/>
        <v>0</v>
      </c>
      <c r="I22" s="36" t="str">
        <f>IFERROR(INDEX('Planejamento Orçamentário'!$C:$C, header_row_id),"")</f>
        <v>Saída</v>
      </c>
      <c r="J22" t="str">
        <f>IFERROR(INDEX('Planejamento Orçamentário'!$C:$C, row_id),"")</f>
        <v>Energia Elétrica</v>
      </c>
      <c r="K22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1800</v>
      </c>
      <c r="L22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4200</v>
      </c>
      <c r="M22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2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2" s="36" t="str">
        <f t="shared" si="3"/>
        <v>$K$20:$K$28</v>
      </c>
      <c r="P22">
        <f t="shared" ca="1" si="4"/>
        <v>2</v>
      </c>
      <c r="Q22" t="str">
        <f t="shared" si="5"/>
        <v>$L$20:$L$28</v>
      </c>
      <c r="R22" s="37">
        <f t="shared" ca="1" si="6"/>
        <v>3</v>
      </c>
      <c r="S22" s="36">
        <f t="shared" ca="1" si="7"/>
        <v>23</v>
      </c>
      <c r="T22" t="str">
        <f t="shared" si="8"/>
        <v>$S$20:$S$28</v>
      </c>
      <c r="U22">
        <f t="shared" ca="1" si="9"/>
        <v>2</v>
      </c>
      <c r="V22" t="str">
        <f t="shared" si="10"/>
        <v>$U$20:$U$22</v>
      </c>
      <c r="W22" s="37">
        <f t="shared" ca="1" si="11"/>
        <v>2</v>
      </c>
      <c r="X22" s="65">
        <f t="shared" ca="1" si="12"/>
        <v>24</v>
      </c>
      <c r="Y22" s="66" t="str">
        <f t="shared" ca="1" si="13"/>
        <v>Diversão &amp; Férias</v>
      </c>
      <c r="Z22" s="69">
        <f t="shared" ca="1" si="14"/>
        <v>740</v>
      </c>
      <c r="AA22" s="69">
        <f t="shared" ca="1" si="15"/>
        <v>6000</v>
      </c>
      <c r="AB22" s="67">
        <f t="shared" ca="1" si="16"/>
        <v>0.12333333333333334</v>
      </c>
      <c r="AC22" s="69">
        <f t="shared" ca="1" si="17"/>
        <v>5260</v>
      </c>
      <c r="AD22" s="69">
        <f t="shared" ca="1" si="18"/>
        <v>0</v>
      </c>
      <c r="AE22" s="68"/>
      <c r="AF22" s="36"/>
      <c r="AI22" s="90" t="str">
        <f>Cálculos!E41</f>
        <v>Total</v>
      </c>
      <c r="AJ22" s="91">
        <f ca="1">Cálculos!F41</f>
        <v>13600</v>
      </c>
      <c r="AK22" s="37"/>
      <c r="AM22" s="36"/>
      <c r="AR22" s="37"/>
    </row>
    <row r="23" spans="3:44">
      <c r="C23" s="36">
        <f>IF(C22=-1,-1,
      IF(C22&lt;income_max_row, C22+1,
         IF(C22=income_max_row, income_total_row,
            IF(C22=income_total_row, "/1",
                IF(C22="/1", expenses_header_row,
                    IF(C22&lt;expenses_max_row, C22+1,
                        IF(C22=expenses_max_row, expenses_total_row,
                            IF(C22=expenses_total_row, "/2",
                                IF(C22="/2", savings_header_row,
                                    IF(C22&lt;savings_max_row, C22+1,
                                        IF(C22=savings_max_row, savings_total_row, -1)))))))))))</f>
        <v>26</v>
      </c>
      <c r="D23" s="37">
        <f t="shared" si="0"/>
        <v>22</v>
      </c>
      <c r="E23" s="36">
        <f>1*OR(row_id=income_header_row, row_id=expenses_header_row, row_id=savings_header_row)</f>
        <v>0</v>
      </c>
      <c r="F23">
        <f t="shared" si="1"/>
        <v>1</v>
      </c>
      <c r="G23">
        <f>1*OR(row_id=income_total_row, row_id=expenses_total_row, row_id=savings_total_row)</f>
        <v>0</v>
      </c>
      <c r="H23" s="37">
        <f t="shared" si="2"/>
        <v>0</v>
      </c>
      <c r="I23" s="36" t="str">
        <f>IFERROR(INDEX('Planejamento Orçamentário'!$C:$C, header_row_id),"")</f>
        <v>Saída</v>
      </c>
      <c r="J23" t="str">
        <f>IFERROR(INDEX('Planejamento Orçamentário'!$C:$C, row_id),"")</f>
        <v>Transporte</v>
      </c>
      <c r="K23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660</v>
      </c>
      <c r="L23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3600</v>
      </c>
      <c r="M23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3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3" s="36" t="str">
        <f t="shared" si="3"/>
        <v>$K$20:$K$28</v>
      </c>
      <c r="P23">
        <f t="shared" ca="1" si="4"/>
        <v>4</v>
      </c>
      <c r="Q23" t="str">
        <f t="shared" si="5"/>
        <v>$L$20:$L$28</v>
      </c>
      <c r="R23" s="37">
        <f t="shared" ca="1" si="6"/>
        <v>4</v>
      </c>
      <c r="S23" s="36">
        <f t="shared" ca="1" si="7"/>
        <v>44</v>
      </c>
      <c r="T23" t="str">
        <f t="shared" si="8"/>
        <v>$S$20:$S$28</v>
      </c>
      <c r="U23">
        <f t="shared" ca="1" si="9"/>
        <v>4</v>
      </c>
      <c r="V23" t="str">
        <f t="shared" si="10"/>
        <v>$U$20:$U$23</v>
      </c>
      <c r="W23" s="37">
        <f t="shared" ca="1" si="11"/>
        <v>4</v>
      </c>
      <c r="X23" s="65">
        <f t="shared" ca="1" si="12"/>
        <v>26</v>
      </c>
      <c r="Y23" s="66" t="str">
        <f t="shared" ca="1" si="13"/>
        <v>Transporte</v>
      </c>
      <c r="Z23" s="69">
        <f t="shared" ca="1" si="14"/>
        <v>660</v>
      </c>
      <c r="AA23" s="69">
        <f t="shared" ca="1" si="15"/>
        <v>3600</v>
      </c>
      <c r="AB23" s="67">
        <f t="shared" ca="1" si="16"/>
        <v>0.18333333333333332</v>
      </c>
      <c r="AC23" s="69">
        <f t="shared" ca="1" si="17"/>
        <v>2940</v>
      </c>
      <c r="AD23" s="69">
        <f t="shared" ca="1" si="18"/>
        <v>0</v>
      </c>
      <c r="AE23" s="68"/>
      <c r="AF23" s="36"/>
      <c r="AK23" s="37"/>
      <c r="AM23" s="36"/>
      <c r="AR23" s="37"/>
    </row>
    <row r="24" spans="3:44">
      <c r="C24" s="36">
        <f>IF(C23=-1,-1,
      IF(C23&lt;income_max_row, C23+1,
         IF(C23=income_max_row, income_total_row,
            IF(C23=income_total_row, "/1",
                IF(C23="/1", expenses_header_row,
                    IF(C23&lt;expenses_max_row, C23+1,
                        IF(C23=expenses_max_row, expenses_total_row,
                            IF(C23=expenses_total_row, "/2",
                                IF(C23="/2", savings_header_row,
                                    IF(C23&lt;savings_max_row, C23+1,
                                        IF(C23=savings_max_row, savings_total_row, -1)))))))))))</f>
        <v>27</v>
      </c>
      <c r="D24" s="37">
        <f t="shared" si="0"/>
        <v>22</v>
      </c>
      <c r="E24" s="36">
        <f>1*OR(row_id=income_header_row, row_id=expenses_header_row, row_id=savings_header_row)</f>
        <v>0</v>
      </c>
      <c r="F24">
        <f t="shared" si="1"/>
        <v>1</v>
      </c>
      <c r="G24">
        <f>1*OR(row_id=income_total_row, row_id=expenses_total_row, row_id=savings_total_row)</f>
        <v>0</v>
      </c>
      <c r="H24" s="37">
        <f t="shared" si="2"/>
        <v>0</v>
      </c>
      <c r="I24" s="36" t="str">
        <f>IFERROR(INDEX('Planejamento Orçamentário'!$C:$C, header_row_id),"")</f>
        <v>Saída</v>
      </c>
      <c r="J24" t="str">
        <f>IFERROR(INDEX('Planejamento Orçamentário'!$C:$C, row_id),"")</f>
        <v>Seguros</v>
      </c>
      <c r="K24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660</v>
      </c>
      <c r="L24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600</v>
      </c>
      <c r="M24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4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4" s="36" t="str">
        <f t="shared" si="3"/>
        <v>$K$20:$K$28</v>
      </c>
      <c r="P24">
        <f t="shared" ca="1" si="4"/>
        <v>4</v>
      </c>
      <c r="Q24" t="str">
        <f t="shared" si="5"/>
        <v>$L$20:$L$28</v>
      </c>
      <c r="R24" s="37">
        <f t="shared" ca="1" si="6"/>
        <v>8</v>
      </c>
      <c r="S24" s="36">
        <f t="shared" ca="1" si="7"/>
        <v>48</v>
      </c>
      <c r="T24" t="str">
        <f t="shared" si="8"/>
        <v>$S$20:$S$28</v>
      </c>
      <c r="U24">
        <f t="shared" ca="1" si="9"/>
        <v>5</v>
      </c>
      <c r="V24" t="str">
        <f t="shared" si="10"/>
        <v>$U$20:$U$24</v>
      </c>
      <c r="W24" s="37">
        <f t="shared" ca="1" si="11"/>
        <v>5</v>
      </c>
      <c r="X24" s="65">
        <f t="shared" ca="1" si="12"/>
        <v>27</v>
      </c>
      <c r="Y24" s="66" t="str">
        <f t="shared" ca="1" si="13"/>
        <v>Seguros</v>
      </c>
      <c r="Z24" s="69">
        <f t="shared" ca="1" si="14"/>
        <v>660</v>
      </c>
      <c r="AA24" s="69">
        <f t="shared" ca="1" si="15"/>
        <v>600</v>
      </c>
      <c r="AB24" s="67">
        <f t="shared" ca="1" si="16"/>
        <v>1.1000000000000001</v>
      </c>
      <c r="AC24" s="69">
        <f t="shared" ca="1" si="17"/>
        <v>0</v>
      </c>
      <c r="AD24" s="69">
        <f t="shared" ca="1" si="18"/>
        <v>60</v>
      </c>
      <c r="AE24" s="68"/>
      <c r="AF24" s="38"/>
      <c r="AG24" s="39"/>
      <c r="AH24" s="39"/>
      <c r="AI24" s="39"/>
      <c r="AJ24" s="39"/>
      <c r="AK24" s="40"/>
      <c r="AM24" s="38"/>
      <c r="AN24" s="39"/>
      <c r="AO24" s="39"/>
      <c r="AP24" s="39"/>
      <c r="AQ24" s="39"/>
      <c r="AR24" s="40"/>
    </row>
    <row r="25" spans="3:44">
      <c r="C25" s="36">
        <f>IF(C24=-1,-1,
      IF(C24&lt;income_max_row, C24+1,
         IF(C24=income_max_row, income_total_row,
            IF(C24=income_total_row, "/1",
                IF(C24="/1", expenses_header_row,
                    IF(C24&lt;expenses_max_row, C24+1,
                        IF(C24=expenses_max_row, expenses_total_row,
                            IF(C24=expenses_total_row, "/2",
                                IF(C24="/2", savings_header_row,
                                    IF(C24&lt;savings_max_row, C24+1,
                                        IF(C24=savings_max_row, savings_total_row, -1)))))))))))</f>
        <v>28</v>
      </c>
      <c r="D25" s="37">
        <f t="shared" si="0"/>
        <v>22</v>
      </c>
      <c r="E25" s="36">
        <f>1*OR(row_id=income_header_row, row_id=expenses_header_row, row_id=savings_header_row)</f>
        <v>0</v>
      </c>
      <c r="F25">
        <f t="shared" si="1"/>
        <v>1</v>
      </c>
      <c r="G25">
        <f>1*OR(row_id=income_total_row, row_id=expenses_total_row, row_id=savings_total_row)</f>
        <v>0</v>
      </c>
      <c r="H25" s="37">
        <f t="shared" si="2"/>
        <v>0</v>
      </c>
      <c r="I25" s="36" t="str">
        <f>IFERROR(INDEX('Planejamento Orçamentário'!$C:$C, header_row_id),"")</f>
        <v>Saída</v>
      </c>
      <c r="J25" t="str">
        <f>IFERROR(INDEX('Planejamento Orçamentário'!$C:$C, row_id),"")</f>
        <v>Vestuário</v>
      </c>
      <c r="K25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510</v>
      </c>
      <c r="L25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2400</v>
      </c>
      <c r="M25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5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5" s="36" t="str">
        <f t="shared" si="3"/>
        <v>$K$20:$K$28</v>
      </c>
      <c r="P25">
        <f t="shared" ca="1" si="4"/>
        <v>6</v>
      </c>
      <c r="Q25" t="str">
        <f t="shared" si="5"/>
        <v>$L$20:$L$28</v>
      </c>
      <c r="R25" s="37">
        <f t="shared" ca="1" si="6"/>
        <v>6</v>
      </c>
      <c r="S25" s="36">
        <f t="shared" ca="1" si="7"/>
        <v>66</v>
      </c>
      <c r="T25" t="str">
        <f t="shared" si="8"/>
        <v>$S$20:$S$28</v>
      </c>
      <c r="U25">
        <f t="shared" ca="1" si="9"/>
        <v>6</v>
      </c>
      <c r="V25" t="str">
        <f t="shared" si="10"/>
        <v>$U$20:$U$25</v>
      </c>
      <c r="W25" s="37">
        <f t="shared" ca="1" si="11"/>
        <v>6</v>
      </c>
      <c r="X25" s="65">
        <f t="shared" ca="1" si="12"/>
        <v>28</v>
      </c>
      <c r="Y25" s="66" t="str">
        <f t="shared" ca="1" si="13"/>
        <v>Vestuário</v>
      </c>
      <c r="Z25" s="69">
        <f t="shared" ca="1" si="14"/>
        <v>510</v>
      </c>
      <c r="AA25" s="69">
        <f t="shared" ca="1" si="15"/>
        <v>2400</v>
      </c>
      <c r="AB25" s="67">
        <f t="shared" ca="1" si="16"/>
        <v>0.21249999999999999</v>
      </c>
      <c r="AC25" s="69">
        <f t="shared" ca="1" si="17"/>
        <v>1890</v>
      </c>
      <c r="AD25" s="69">
        <f t="shared" ca="1" si="18"/>
        <v>0</v>
      </c>
      <c r="AE25" s="68"/>
    </row>
    <row r="26" spans="3:44">
      <c r="C26" s="36">
        <f>IF(C25=-1,-1,
      IF(C25&lt;income_max_row, C25+1,
         IF(C25=income_max_row, income_total_row,
            IF(C25=income_total_row, "/1",
                IF(C25="/1", expenses_header_row,
                    IF(C25&lt;expenses_max_row, C25+1,
                        IF(C25=expenses_max_row, expenses_total_row,
                            IF(C25=expenses_total_row, "/2",
                                IF(C25="/2", savings_header_row,
                                    IF(C25&lt;savings_max_row, C25+1,
                                        IF(C25=savings_max_row, savings_total_row, -1)))))))))))</f>
        <v>29</v>
      </c>
      <c r="D26" s="37">
        <f t="shared" si="0"/>
        <v>22</v>
      </c>
      <c r="E26" s="36">
        <f>1*OR(row_id=income_header_row, row_id=expenses_header_row, row_id=savings_header_row)</f>
        <v>0</v>
      </c>
      <c r="F26">
        <f t="shared" si="1"/>
        <v>1</v>
      </c>
      <c r="G26">
        <f>1*OR(row_id=income_total_row, row_id=expenses_total_row, row_id=savings_total_row)</f>
        <v>0</v>
      </c>
      <c r="H26" s="37">
        <f t="shared" si="2"/>
        <v>0</v>
      </c>
      <c r="I26" s="36" t="str">
        <f>IFERROR(INDEX('Planejamento Orçamentário'!$C:$C, header_row_id),"")</f>
        <v>Saída</v>
      </c>
      <c r="J26" t="str">
        <f>IFERROR(INDEX('Planejamento Orçamentário'!$C:$C, row_id),"")</f>
        <v>Saúde &amp; Academia</v>
      </c>
      <c r="K26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500</v>
      </c>
      <c r="L26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2400</v>
      </c>
      <c r="M26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6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6" s="36" t="str">
        <f t="shared" si="3"/>
        <v>$K$20:$K$28</v>
      </c>
      <c r="P26">
        <f t="shared" ca="1" si="4"/>
        <v>7</v>
      </c>
      <c r="Q26" t="str">
        <f t="shared" si="5"/>
        <v>$L$20:$L$28</v>
      </c>
      <c r="R26" s="37">
        <f t="shared" ca="1" si="6"/>
        <v>6</v>
      </c>
      <c r="S26" s="36">
        <f t="shared" ca="1" si="7"/>
        <v>76</v>
      </c>
      <c r="T26" t="str">
        <f t="shared" si="8"/>
        <v>$S$20:$S$28</v>
      </c>
      <c r="U26">
        <f t="shared" ca="1" si="9"/>
        <v>7</v>
      </c>
      <c r="V26" t="str">
        <f t="shared" si="10"/>
        <v>$U$20:$U$26</v>
      </c>
      <c r="W26" s="37">
        <f t="shared" ca="1" si="11"/>
        <v>7</v>
      </c>
      <c r="X26" s="65">
        <f t="shared" ca="1" si="12"/>
        <v>29</v>
      </c>
      <c r="Y26" s="66" t="str">
        <f t="shared" ca="1" si="13"/>
        <v>Saúde &amp; Academia</v>
      </c>
      <c r="Z26" s="69">
        <f t="shared" ca="1" si="14"/>
        <v>500</v>
      </c>
      <c r="AA26" s="69">
        <f t="shared" ca="1" si="15"/>
        <v>2400</v>
      </c>
      <c r="AB26" s="67">
        <f t="shared" ca="1" si="16"/>
        <v>0.20833333333333334</v>
      </c>
      <c r="AC26" s="69">
        <f t="shared" ca="1" si="17"/>
        <v>1900</v>
      </c>
      <c r="AD26" s="69">
        <f t="shared" ca="1" si="18"/>
        <v>0</v>
      </c>
      <c r="AE26" s="68"/>
      <c r="AF26" s="76"/>
      <c r="AG26" s="77"/>
      <c r="AH26" s="77"/>
      <c r="AI26" s="77"/>
      <c r="AJ26" s="77"/>
      <c r="AK26" s="78"/>
      <c r="AM26" s="76"/>
      <c r="AN26" s="77"/>
      <c r="AO26" s="77"/>
      <c r="AP26" s="77"/>
      <c r="AQ26" s="77"/>
      <c r="AR26" s="78"/>
    </row>
    <row r="27" spans="3:44">
      <c r="C27" s="36">
        <f>IF(C26=-1,-1,
      IF(C26&lt;income_max_row, C26+1,
         IF(C26=income_max_row, income_total_row,
            IF(C26=income_total_row, "/1",
                IF(C26="/1", expenses_header_row,
                    IF(C26&lt;expenses_max_row, C26+1,
                        IF(C26=expenses_max_row, expenses_total_row,
                            IF(C26=expenses_total_row, "/2",
                                IF(C26="/2", savings_header_row,
                                    IF(C26&lt;savings_max_row, C26+1,
                                        IF(C26=savings_max_row, savings_total_row, -1)))))))))))</f>
        <v>30</v>
      </c>
      <c r="D27" s="37">
        <f t="shared" si="0"/>
        <v>22</v>
      </c>
      <c r="E27" s="36">
        <f>1*OR(row_id=income_header_row, row_id=expenses_header_row, row_id=savings_header_row)</f>
        <v>0</v>
      </c>
      <c r="F27">
        <f t="shared" si="1"/>
        <v>1</v>
      </c>
      <c r="G27">
        <f>1*OR(row_id=income_total_row, row_id=expenses_total_row, row_id=savings_total_row)</f>
        <v>0</v>
      </c>
      <c r="H27" s="37">
        <f t="shared" si="2"/>
        <v>0</v>
      </c>
      <c r="I27" s="36" t="str">
        <f>IFERROR(INDEX('Planejamento Orçamentário'!$C:$C, header_row_id),"")</f>
        <v>Saída</v>
      </c>
      <c r="J27" t="str">
        <f>IFERROR(INDEX('Planejamento Orçamentário'!$C:$C, row_id),"")</f>
        <v>Streaming</v>
      </c>
      <c r="K27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260</v>
      </c>
      <c r="L27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600</v>
      </c>
      <c r="M27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7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7" s="36" t="str">
        <f t="shared" si="3"/>
        <v>$K$20:$K$28</v>
      </c>
      <c r="P27">
        <f t="shared" ca="1" si="4"/>
        <v>9</v>
      </c>
      <c r="Q27" t="str">
        <f t="shared" si="5"/>
        <v>$L$20:$L$28</v>
      </c>
      <c r="R27" s="37">
        <f t="shared" ca="1" si="6"/>
        <v>8</v>
      </c>
      <c r="S27" s="36">
        <f t="shared" ca="1" si="7"/>
        <v>98</v>
      </c>
      <c r="T27" t="str">
        <f t="shared" si="8"/>
        <v>$S$20:$S$28</v>
      </c>
      <c r="U27">
        <f t="shared" ca="1" si="9"/>
        <v>9</v>
      </c>
      <c r="V27" t="str">
        <f t="shared" si="10"/>
        <v>$U$20:$U$27</v>
      </c>
      <c r="W27" s="37">
        <f t="shared" ca="1" si="11"/>
        <v>9</v>
      </c>
      <c r="X27" s="65">
        <f t="shared" ca="1" si="12"/>
        <v>31</v>
      </c>
      <c r="Y27" s="66" t="str">
        <f t="shared" ca="1" si="13"/>
        <v>Faculdade</v>
      </c>
      <c r="Z27" s="69">
        <f t="shared" ca="1" si="14"/>
        <v>360</v>
      </c>
      <c r="AA27" s="69">
        <f t="shared" ca="1" si="15"/>
        <v>14400</v>
      </c>
      <c r="AB27" s="67">
        <f t="shared" ca="1" si="16"/>
        <v>2.5000000000000001E-2</v>
      </c>
      <c r="AC27" s="69">
        <f t="shared" ca="1" si="17"/>
        <v>14040</v>
      </c>
      <c r="AD27" s="69">
        <f t="shared" ca="1" si="18"/>
        <v>0</v>
      </c>
      <c r="AE27" s="68"/>
      <c r="AF27" s="36"/>
      <c r="AK27" s="37"/>
      <c r="AM27" s="36"/>
      <c r="AR27" s="37"/>
    </row>
    <row r="28" spans="3:44">
      <c r="C28" s="36">
        <f>IF(C27=-1,-1,
      IF(C27&lt;income_max_row, C27+1,
         IF(C27=income_max_row, income_total_row,
            IF(C27=income_total_row, "/1",
                IF(C27="/1", expenses_header_row,
                    IF(C27&lt;expenses_max_row, C27+1,
                        IF(C27=expenses_max_row, expenses_total_row,
                            IF(C27=expenses_total_row, "/2",
                                IF(C27="/2", savings_header_row,
                                    IF(C27&lt;savings_max_row, C27+1,
                                        IF(C27=savings_max_row, savings_total_row, -1)))))))))))</f>
        <v>31</v>
      </c>
      <c r="D28" s="37">
        <f t="shared" si="0"/>
        <v>22</v>
      </c>
      <c r="E28" s="36">
        <f>1*OR(row_id=income_header_row, row_id=expenses_header_row, row_id=savings_header_row)</f>
        <v>0</v>
      </c>
      <c r="F28">
        <f t="shared" si="1"/>
        <v>1</v>
      </c>
      <c r="G28">
        <f>1*OR(row_id=income_total_row, row_id=expenses_total_row, row_id=savings_total_row)</f>
        <v>0</v>
      </c>
      <c r="H28" s="37">
        <f t="shared" si="2"/>
        <v>0</v>
      </c>
      <c r="I28" s="36" t="str">
        <f>IFERROR(INDEX('Planejamento Orçamentário'!$C:$C, header_row_id),"")</f>
        <v>Saída</v>
      </c>
      <c r="J28" t="str">
        <f>IFERROR(INDEX('Planejamento Orçamentário'!$C:$C, row_id),"")</f>
        <v>Diversão &amp; Férias</v>
      </c>
      <c r="K28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740</v>
      </c>
      <c r="L28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6000</v>
      </c>
      <c r="M28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20</v>
      </c>
      <c r="N28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28</v>
      </c>
      <c r="O28" s="36" t="str">
        <f t="shared" si="3"/>
        <v>$K$20:$K$28</v>
      </c>
      <c r="P28">
        <f t="shared" ca="1" si="4"/>
        <v>3</v>
      </c>
      <c r="Q28" t="str">
        <f t="shared" si="5"/>
        <v>$L$20:$L$28</v>
      </c>
      <c r="R28" s="37">
        <f t="shared" ca="1" si="6"/>
        <v>2</v>
      </c>
      <c r="S28" s="36">
        <f t="shared" ca="1" si="7"/>
        <v>32</v>
      </c>
      <c r="T28" t="str">
        <f t="shared" si="8"/>
        <v>$S$20:$S$28</v>
      </c>
      <c r="U28">
        <f t="shared" ca="1" si="9"/>
        <v>3</v>
      </c>
      <c r="V28" t="str">
        <f t="shared" si="10"/>
        <v>$U$20:$U$28</v>
      </c>
      <c r="W28" s="37">
        <f t="shared" ca="1" si="11"/>
        <v>3</v>
      </c>
      <c r="X28" s="65">
        <f t="shared" ca="1" si="12"/>
        <v>25</v>
      </c>
      <c r="Y28" s="66" t="str">
        <f t="shared" ca="1" si="13"/>
        <v>Streaming</v>
      </c>
      <c r="Z28" s="69">
        <f t="shared" ca="1" si="14"/>
        <v>260</v>
      </c>
      <c r="AA28" s="69">
        <f t="shared" ca="1" si="15"/>
        <v>600</v>
      </c>
      <c r="AB28" s="67">
        <f t="shared" ca="1" si="16"/>
        <v>0.43333333333333335</v>
      </c>
      <c r="AC28" s="69">
        <f t="shared" ca="1" si="17"/>
        <v>340</v>
      </c>
      <c r="AD28" s="69">
        <f t="shared" ca="1" si="18"/>
        <v>0</v>
      </c>
      <c r="AE28" s="68"/>
      <c r="AF28" s="36"/>
      <c r="AK28" s="37"/>
      <c r="AM28" s="36"/>
      <c r="AR28" s="37"/>
    </row>
    <row r="29" spans="3:44">
      <c r="C29" s="36">
        <f>IF(C28=-1,-1,
      IF(C28&lt;income_max_row, C28+1,
         IF(C28=income_max_row, income_total_row,
            IF(C28=income_total_row, "/1",
                IF(C28="/1", expenses_header_row,
                    IF(C28&lt;expenses_max_row, C28+1,
                        IF(C28=expenses_max_row, expenses_total_row,
                            IF(C28=expenses_total_row, "/2",
                                IF(C28="/2", savings_header_row,
                                    IF(C28&lt;savings_max_row, C28+1,
                                        IF(C28=savings_max_row, savings_total_row, -1)))))))))))</f>
        <v>36</v>
      </c>
      <c r="D29" s="37">
        <f t="shared" si="0"/>
        <v>22</v>
      </c>
      <c r="E29" s="36">
        <f>1*OR(row_id=income_header_row, row_id=expenses_header_row, row_id=savings_header_row)</f>
        <v>0</v>
      </c>
      <c r="F29">
        <f t="shared" si="1"/>
        <v>0</v>
      </c>
      <c r="G29">
        <f>1*OR(row_id=income_total_row, row_id=expenses_total_row, row_id=savings_total_row)</f>
        <v>1</v>
      </c>
      <c r="H29" s="37">
        <f t="shared" si="2"/>
        <v>0</v>
      </c>
      <c r="I29" s="36" t="str">
        <f>IFERROR(INDEX('Planejamento Orçamentário'!$C:$C, header_row_id),"")</f>
        <v>Saída</v>
      </c>
      <c r="J29" t="str">
        <f>IFERROR(INDEX('Planejamento Orçamentário'!$C:$C, row_id),"")</f>
        <v>Total</v>
      </c>
      <c r="K29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7890</v>
      </c>
      <c r="L29" s="63">
        <f ca="1">IF(OR(is_header, is_empty), "",
      INDEX('Planejamento Orçamentário'!$E:$EM, row_id,
                   MATCH(IF(selected_period="Ano Total", selected_year, DATE(selected_year, selected_period, 1)), 'Planejamento Orçamentário'!$E$9:$EM$9, 0) ))</f>
        <v>37800</v>
      </c>
      <c r="M29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29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29" s="36" t="str">
        <f t="shared" si="3"/>
        <v/>
      </c>
      <c r="P29" t="str">
        <f t="shared" ca="1" si="4"/>
        <v/>
      </c>
      <c r="Q29" t="str">
        <f t="shared" si="5"/>
        <v/>
      </c>
      <c r="R29" s="37" t="str">
        <f t="shared" ca="1" si="6"/>
        <v/>
      </c>
      <c r="S29" s="36" t="str">
        <f t="shared" si="7"/>
        <v/>
      </c>
      <c r="T29" t="str">
        <f t="shared" si="8"/>
        <v/>
      </c>
      <c r="U29" t="str">
        <f t="shared" ca="1" si="9"/>
        <v/>
      </c>
      <c r="V29" t="str">
        <f t="shared" si="10"/>
        <v/>
      </c>
      <c r="W29" s="37" t="str">
        <f t="shared" ca="1" si="11"/>
        <v/>
      </c>
      <c r="X29" s="65">
        <f t="shared" si="12"/>
        <v>36</v>
      </c>
      <c r="Y29" s="66" t="str">
        <f t="shared" ca="1" si="13"/>
        <v>Total</v>
      </c>
      <c r="Z29" s="69">
        <f t="shared" ca="1" si="14"/>
        <v>7890</v>
      </c>
      <c r="AA29" s="69">
        <f t="shared" ca="1" si="15"/>
        <v>37800</v>
      </c>
      <c r="AB29" s="67">
        <f t="shared" ca="1" si="16"/>
        <v>0.20873015873015874</v>
      </c>
      <c r="AC29" s="69">
        <f t="shared" ca="1" si="17"/>
        <v>29910</v>
      </c>
      <c r="AD29" s="69">
        <f t="shared" ca="1" si="18"/>
        <v>0</v>
      </c>
      <c r="AE29" s="68"/>
      <c r="AF29" s="36"/>
      <c r="AI29" s="88" t="str">
        <f ca="1">Cálculos!I35</f>
        <v>Aluguel</v>
      </c>
      <c r="AJ29" s="89">
        <f ca="1">Cálculos!J35</f>
        <v>2400</v>
      </c>
      <c r="AK29" s="37"/>
      <c r="AM29" s="36"/>
      <c r="AP29" s="88" t="str">
        <f ca="1">Cálculos!M35</f>
        <v>Previdência Privada</v>
      </c>
      <c r="AQ29" s="89">
        <f ca="1">Cálculos!N35</f>
        <v>1250</v>
      </c>
      <c r="AR29" s="37"/>
    </row>
    <row r="30" spans="3:44">
      <c r="C30" s="36" t="str">
        <f>IF(C29=-1,-1,
      IF(C29&lt;income_max_row, C29+1,
         IF(C29=income_max_row, income_total_row,
            IF(C29=income_total_row, "/1",
                IF(C29="/1", expenses_header_row,
                    IF(C29&lt;expenses_max_row, C29+1,
                        IF(C29=expenses_max_row, expenses_total_row,
                            IF(C29=expenses_total_row, "/2",
                                IF(C29="/2", savings_header_row,
                                    IF(C29&lt;savings_max_row, C29+1,
                                        IF(C29=savings_max_row, savings_total_row, -1)))))))))))</f>
        <v>/2</v>
      </c>
      <c r="D30" s="37">
        <f t="shared" si="0"/>
        <v>-1</v>
      </c>
      <c r="E30" s="36">
        <f>1*OR(row_id=income_header_row, row_id=expenses_header_row, row_id=savings_header_row)</f>
        <v>0</v>
      </c>
      <c r="F30">
        <f t="shared" si="1"/>
        <v>0</v>
      </c>
      <c r="G30">
        <f>1*OR(row_id=income_total_row, row_id=expenses_total_row, row_id=savings_total_row)</f>
        <v>0</v>
      </c>
      <c r="H30" s="37">
        <f t="shared" si="2"/>
        <v>1</v>
      </c>
      <c r="I30" s="36" t="str">
        <f>IFERROR(INDEX('Planejamento Orçamentário'!$C:$C, header_row_id),"")</f>
        <v/>
      </c>
      <c r="J30" t="str">
        <f>IFERROR(INDEX('Planejamento Orçamentário'!$C:$C, row_id),"")</f>
        <v/>
      </c>
      <c r="K30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30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30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30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30" s="36" t="str">
        <f t="shared" si="3"/>
        <v/>
      </c>
      <c r="P30" t="str">
        <f t="shared" ca="1" si="4"/>
        <v/>
      </c>
      <c r="Q30" t="str">
        <f t="shared" si="5"/>
        <v/>
      </c>
      <c r="R30" s="37" t="str">
        <f t="shared" ca="1" si="6"/>
        <v/>
      </c>
      <c r="S30" s="36" t="str">
        <f t="shared" si="7"/>
        <v/>
      </c>
      <c r="T30" t="str">
        <f t="shared" si="8"/>
        <v/>
      </c>
      <c r="U30" t="str">
        <f t="shared" ca="1" si="9"/>
        <v/>
      </c>
      <c r="V30" t="str">
        <f t="shared" si="10"/>
        <v/>
      </c>
      <c r="W30" s="37" t="str">
        <f t="shared" ca="1" si="11"/>
        <v/>
      </c>
      <c r="X30" s="65" t="str">
        <f t="shared" si="12"/>
        <v>/2</v>
      </c>
      <c r="Y30" s="66" t="str">
        <f t="shared" si="13"/>
        <v/>
      </c>
      <c r="Z30" s="69" t="str">
        <f t="shared" si="14"/>
        <v/>
      </c>
      <c r="AA30" s="69" t="str">
        <f t="shared" si="15"/>
        <v/>
      </c>
      <c r="AB30" s="67" t="str">
        <f t="shared" si="16"/>
        <v/>
      </c>
      <c r="AC30" s="69" t="str">
        <f t="shared" si="17"/>
        <v/>
      </c>
      <c r="AD30" s="69" t="str">
        <f t="shared" si="18"/>
        <v/>
      </c>
      <c r="AE30" s="68"/>
      <c r="AF30" s="36"/>
      <c r="AI30" s="88" t="str">
        <f ca="1">Cálculos!I36</f>
        <v>Energia Elétrica</v>
      </c>
      <c r="AJ30" s="89">
        <f ca="1">Cálculos!J36</f>
        <v>1800</v>
      </c>
      <c r="AK30" s="37"/>
      <c r="AM30" s="36"/>
      <c r="AP30" s="88" t="str">
        <f ca="1">Cálculos!M36</f>
        <v>Ações</v>
      </c>
      <c r="AQ30" s="89">
        <f ca="1">Cálculos!N36</f>
        <v>900</v>
      </c>
      <c r="AR30" s="37"/>
    </row>
    <row r="31" spans="3:44">
      <c r="C31" s="36">
        <f>IF(C30=-1,-1,
      IF(C30&lt;income_max_row, C30+1,
         IF(C30=income_max_row, income_total_row,
            IF(C30=income_total_row, "/1",
                IF(C30="/1", expenses_header_row,
                    IF(C30&lt;expenses_max_row, C30+1,
                        IF(C30=expenses_max_row, expenses_total_row,
                            IF(C30=expenses_total_row, "/2",
                                IF(C30="/2", savings_header_row,
                                    IF(C30&lt;savings_max_row, C30+1,
                                        IF(C30=savings_max_row, savings_total_row, -1)))))))))))</f>
        <v>38</v>
      </c>
      <c r="D31" s="37">
        <f t="shared" si="0"/>
        <v>38</v>
      </c>
      <c r="E31" s="36">
        <f>1*OR(row_id=income_header_row, row_id=expenses_header_row, row_id=savings_header_row)</f>
        <v>1</v>
      </c>
      <c r="F31">
        <f t="shared" si="1"/>
        <v>0</v>
      </c>
      <c r="G31">
        <f>1*OR(row_id=income_total_row, row_id=expenses_total_row, row_id=savings_total_row)</f>
        <v>0</v>
      </c>
      <c r="H31" s="37">
        <f t="shared" si="2"/>
        <v>0</v>
      </c>
      <c r="I31" s="36" t="str">
        <f>IFERROR(INDEX('Planejamento Orçamentário'!$C:$C, header_row_id),"")</f>
        <v>Investimento</v>
      </c>
      <c r="J31" t="str">
        <f>IFERROR(INDEX('Planejamento Orçamentário'!$C:$C, row_id),"")</f>
        <v>Investimento</v>
      </c>
      <c r="K31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31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31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31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31" s="36" t="str">
        <f t="shared" si="3"/>
        <v/>
      </c>
      <c r="P31" t="str">
        <f t="shared" ca="1" si="4"/>
        <v/>
      </c>
      <c r="Q31" t="str">
        <f t="shared" si="5"/>
        <v/>
      </c>
      <c r="R31" s="37" t="str">
        <f t="shared" ca="1" si="6"/>
        <v/>
      </c>
      <c r="S31" s="36" t="str">
        <f t="shared" si="7"/>
        <v/>
      </c>
      <c r="T31" t="str">
        <f t="shared" si="8"/>
        <v/>
      </c>
      <c r="U31" t="str">
        <f t="shared" ca="1" si="9"/>
        <v/>
      </c>
      <c r="V31" t="str">
        <f t="shared" si="10"/>
        <v/>
      </c>
      <c r="W31" s="37" t="str">
        <f t="shared" ca="1" si="11"/>
        <v/>
      </c>
      <c r="X31" s="65">
        <f t="shared" si="12"/>
        <v>38</v>
      </c>
      <c r="Y31" s="73" t="str">
        <f t="shared" ca="1" si="13"/>
        <v>Investimento</v>
      </c>
      <c r="Z31" s="74" t="str">
        <f t="shared" si="14"/>
        <v>Rastreado</v>
      </c>
      <c r="AA31" s="74" t="str">
        <f t="shared" si="15"/>
        <v>Orçamento</v>
      </c>
      <c r="AB31" s="75" t="str">
        <f t="shared" si="16"/>
        <v>%Compl.</v>
      </c>
      <c r="AC31" s="74" t="str">
        <f t="shared" si="17"/>
        <v>Restante</v>
      </c>
      <c r="AD31" s="74" t="str">
        <f t="shared" si="18"/>
        <v>Excedente</v>
      </c>
      <c r="AE31" s="68"/>
      <c r="AF31" s="36"/>
      <c r="AI31" s="88" t="str">
        <f ca="1">Cálculos!I37</f>
        <v>Diversão &amp; Férias</v>
      </c>
      <c r="AJ31" s="89">
        <f ca="1">Cálculos!J37</f>
        <v>740</v>
      </c>
      <c r="AK31" s="37"/>
      <c r="AM31" s="36"/>
      <c r="AP31" s="88" t="str">
        <f ca="1">Cálculos!M37</f>
        <v>Tesouro Direto</v>
      </c>
      <c r="AQ31" s="89">
        <f ca="1">Cálculos!N37</f>
        <v>400</v>
      </c>
      <c r="AR31" s="37"/>
    </row>
    <row r="32" spans="3:44">
      <c r="C32" s="36">
        <f>IF(C31=-1,-1,
      IF(C31&lt;income_max_row, C31+1,
         IF(C31=income_max_row, income_total_row,
            IF(C31=income_total_row, "/1",
                IF(C31="/1", expenses_header_row,
                    IF(C31&lt;expenses_max_row, C31+1,
                        IF(C31=expenses_max_row, expenses_total_row,
                            IF(C31=expenses_total_row, "/2",
                                IF(C31="/2", savings_header_row,
                                    IF(C31&lt;savings_max_row, C31+1,
                                        IF(C31=savings_max_row, savings_total_row, -1)))))))))))</f>
        <v>39</v>
      </c>
      <c r="D32" s="37">
        <f t="shared" si="0"/>
        <v>38</v>
      </c>
      <c r="E32" s="36">
        <f>1*OR(row_id=income_header_row, row_id=expenses_header_row, row_id=savings_header_row)</f>
        <v>0</v>
      </c>
      <c r="F32">
        <f t="shared" si="1"/>
        <v>1</v>
      </c>
      <c r="G32">
        <f>1*OR(row_id=income_total_row, row_id=expenses_total_row, row_id=savings_total_row)</f>
        <v>0</v>
      </c>
      <c r="H32" s="37">
        <f t="shared" si="2"/>
        <v>0</v>
      </c>
      <c r="I32" s="36" t="str">
        <f>IFERROR(INDEX('Planejamento Orçamentário'!$C:$C, header_row_id),"")</f>
        <v>Investimento</v>
      </c>
      <c r="J32" t="str">
        <f>IFERROR(INDEX('Planejamento Orçamentário'!$C:$C, row_id),"")</f>
        <v>Reserva de Emergência</v>
      </c>
      <c r="K32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140</v>
      </c>
      <c r="L32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3000</v>
      </c>
      <c r="M32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32</v>
      </c>
      <c r="N32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36</v>
      </c>
      <c r="O32" s="36" t="str">
        <f t="shared" si="3"/>
        <v>$K$32:$K$36</v>
      </c>
      <c r="P32">
        <f t="shared" ca="1" si="4"/>
        <v>5</v>
      </c>
      <c r="Q32" t="str">
        <f t="shared" si="5"/>
        <v>$L$32:$L$36</v>
      </c>
      <c r="R32" s="37">
        <f t="shared" ca="1" si="6"/>
        <v>4</v>
      </c>
      <c r="S32" s="36">
        <f t="shared" ca="1" si="7"/>
        <v>54</v>
      </c>
      <c r="T32" t="str">
        <f t="shared" si="8"/>
        <v>$S$32:$S$36</v>
      </c>
      <c r="U32">
        <f t="shared" ca="1" si="9"/>
        <v>5</v>
      </c>
      <c r="V32" t="str">
        <f t="shared" si="10"/>
        <v>$U$32:$U$32</v>
      </c>
      <c r="W32" s="37">
        <f t="shared" ca="1" si="11"/>
        <v>5</v>
      </c>
      <c r="X32" s="65">
        <f t="shared" ca="1" si="12"/>
        <v>43</v>
      </c>
      <c r="Y32" s="66" t="str">
        <f t="shared" ca="1" si="13"/>
        <v>Previdência Privada</v>
      </c>
      <c r="Z32" s="69">
        <f t="shared" ca="1" si="14"/>
        <v>1250</v>
      </c>
      <c r="AA32" s="69">
        <f t="shared" ca="1" si="15"/>
        <v>10200</v>
      </c>
      <c r="AB32" s="67">
        <f t="shared" ca="1" si="16"/>
        <v>0.12254901960784313</v>
      </c>
      <c r="AC32" s="69">
        <f t="shared" ca="1" si="17"/>
        <v>8950</v>
      </c>
      <c r="AD32" s="69">
        <f t="shared" ca="1" si="18"/>
        <v>0</v>
      </c>
      <c r="AE32" s="68"/>
      <c r="AF32" s="36"/>
      <c r="AI32" s="88" t="str">
        <f ca="1">Cálculos!I38</f>
        <v>Transporte</v>
      </c>
      <c r="AJ32" s="89">
        <f ca="1">Cálculos!J38</f>
        <v>660</v>
      </c>
      <c r="AK32" s="37"/>
      <c r="AM32" s="36"/>
      <c r="AP32" s="88" t="str">
        <f ca="1">Cálculos!M38</f>
        <v>LCI</v>
      </c>
      <c r="AQ32" s="89">
        <f ca="1">Cálculos!N38</f>
        <v>400</v>
      </c>
      <c r="AR32" s="37"/>
    </row>
    <row r="33" spans="3:44">
      <c r="C33" s="36">
        <f>IF(C32=-1,-1,
      IF(C32&lt;income_max_row, C32+1,
         IF(C32=income_max_row, income_total_row,
            IF(C32=income_total_row, "/1",
                IF(C32="/1", expenses_header_row,
                    IF(C32&lt;expenses_max_row, C32+1,
                        IF(C32=expenses_max_row, expenses_total_row,
                            IF(C32=expenses_total_row, "/2",
                                IF(C32="/2", savings_header_row,
                                    IF(C32&lt;savings_max_row, C32+1,
                                        IF(C32=savings_max_row, savings_total_row, -1)))))))))))</f>
        <v>40</v>
      </c>
      <c r="D33" s="37">
        <f t="shared" si="0"/>
        <v>38</v>
      </c>
      <c r="E33" s="36">
        <f>1*OR(row_id=income_header_row, row_id=expenses_header_row, row_id=savings_header_row)</f>
        <v>0</v>
      </c>
      <c r="F33">
        <f t="shared" si="1"/>
        <v>1</v>
      </c>
      <c r="G33">
        <f>1*OR(row_id=income_total_row, row_id=expenses_total_row, row_id=savings_total_row)</f>
        <v>0</v>
      </c>
      <c r="H33" s="37">
        <f t="shared" si="2"/>
        <v>0</v>
      </c>
      <c r="I33" s="36" t="str">
        <f>IFERROR(INDEX('Planejamento Orçamentário'!$C:$C, header_row_id),"")</f>
        <v>Investimento</v>
      </c>
      <c r="J33" t="str">
        <f>IFERROR(INDEX('Planejamento Orçamentário'!$C:$C, row_id),"")</f>
        <v>Tesouro Direto</v>
      </c>
      <c r="K33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400</v>
      </c>
      <c r="L33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4800</v>
      </c>
      <c r="M33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32</v>
      </c>
      <c r="N33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36</v>
      </c>
      <c r="O33" s="36" t="str">
        <f t="shared" si="3"/>
        <v>$K$32:$K$36</v>
      </c>
      <c r="P33">
        <f t="shared" ca="1" si="4"/>
        <v>3</v>
      </c>
      <c r="Q33" t="str">
        <f t="shared" si="5"/>
        <v>$L$32:$L$36</v>
      </c>
      <c r="R33" s="37">
        <f t="shared" ca="1" si="6"/>
        <v>3</v>
      </c>
      <c r="S33" s="36">
        <f t="shared" ca="1" si="7"/>
        <v>33</v>
      </c>
      <c r="T33" t="str">
        <f t="shared" si="8"/>
        <v>$S$32:$S$36</v>
      </c>
      <c r="U33">
        <f t="shared" ca="1" si="9"/>
        <v>3</v>
      </c>
      <c r="V33" t="str">
        <f t="shared" si="10"/>
        <v>$U$32:$U$33</v>
      </c>
      <c r="W33" s="37">
        <f t="shared" ca="1" si="11"/>
        <v>3</v>
      </c>
      <c r="X33" s="65">
        <f t="shared" ca="1" si="12"/>
        <v>41</v>
      </c>
      <c r="Y33" s="66" t="str">
        <f t="shared" ca="1" si="13"/>
        <v>Ações</v>
      </c>
      <c r="Z33" s="69">
        <f t="shared" ca="1" si="14"/>
        <v>900</v>
      </c>
      <c r="AA33" s="69">
        <f t="shared" ca="1" si="15"/>
        <v>7200</v>
      </c>
      <c r="AB33" s="67">
        <f t="shared" ca="1" si="16"/>
        <v>0.125</v>
      </c>
      <c r="AC33" s="69">
        <f t="shared" ca="1" si="17"/>
        <v>6300</v>
      </c>
      <c r="AD33" s="69">
        <f t="shared" ca="1" si="18"/>
        <v>0</v>
      </c>
      <c r="AE33" s="68"/>
      <c r="AF33" s="36"/>
      <c r="AI33" s="88" t="str">
        <f ca="1">Cálculos!I39</f>
        <v>Seguros</v>
      </c>
      <c r="AJ33" s="89">
        <f ca="1">Cálculos!J39</f>
        <v>660</v>
      </c>
      <c r="AK33" s="37"/>
      <c r="AM33" s="36"/>
      <c r="AP33" s="88" t="str">
        <f ca="1">Cálculos!M39</f>
        <v>Reserva de Emergência</v>
      </c>
      <c r="AQ33" s="89">
        <f ca="1">Cálculos!N39</f>
        <v>140</v>
      </c>
      <c r="AR33" s="37"/>
    </row>
    <row r="34" spans="3:44">
      <c r="C34" s="36">
        <f>IF(C33=-1,-1,
      IF(C33&lt;income_max_row, C33+1,
         IF(C33=income_max_row, income_total_row,
            IF(C33=income_total_row, "/1",
                IF(C33="/1", expenses_header_row,
                    IF(C33&lt;expenses_max_row, C33+1,
                        IF(C33=expenses_max_row, expenses_total_row,
                            IF(C33=expenses_total_row, "/2",
                                IF(C33="/2", savings_header_row,
                                    IF(C33&lt;savings_max_row, C33+1,
                                        IF(C33=savings_max_row, savings_total_row, -1)))))))))))</f>
        <v>41</v>
      </c>
      <c r="D34" s="37">
        <f t="shared" si="0"/>
        <v>38</v>
      </c>
      <c r="E34" s="36">
        <f>1*OR(row_id=income_header_row, row_id=expenses_header_row, row_id=savings_header_row)</f>
        <v>0</v>
      </c>
      <c r="F34">
        <f t="shared" si="1"/>
        <v>1</v>
      </c>
      <c r="G34">
        <f>1*OR(row_id=income_total_row, row_id=expenses_total_row, row_id=savings_total_row)</f>
        <v>0</v>
      </c>
      <c r="H34" s="37">
        <f t="shared" si="2"/>
        <v>0</v>
      </c>
      <c r="I34" s="36" t="str">
        <f>IFERROR(INDEX('Planejamento Orçamentário'!$C:$C, header_row_id),"")</f>
        <v>Investimento</v>
      </c>
      <c r="J34" t="str">
        <f>IFERROR(INDEX('Planejamento Orçamentário'!$C:$C, row_id),"")</f>
        <v>Ações</v>
      </c>
      <c r="K34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900</v>
      </c>
      <c r="L34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7200</v>
      </c>
      <c r="M34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32</v>
      </c>
      <c r="N34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36</v>
      </c>
      <c r="O34" s="36" t="str">
        <f t="shared" si="3"/>
        <v>$K$32:$K$36</v>
      </c>
      <c r="P34">
        <f t="shared" ca="1" si="4"/>
        <v>2</v>
      </c>
      <c r="Q34" t="str">
        <f t="shared" si="5"/>
        <v>$L$32:$L$36</v>
      </c>
      <c r="R34" s="37">
        <f t="shared" ca="1" si="6"/>
        <v>2</v>
      </c>
      <c r="S34" s="36">
        <f t="shared" ca="1" si="7"/>
        <v>22</v>
      </c>
      <c r="T34" t="str">
        <f t="shared" si="8"/>
        <v>$S$32:$S$36</v>
      </c>
      <c r="U34">
        <f t="shared" ca="1" si="9"/>
        <v>2</v>
      </c>
      <c r="V34" t="str">
        <f t="shared" si="10"/>
        <v>$U$32:$U$34</v>
      </c>
      <c r="W34" s="37">
        <f t="shared" ca="1" si="11"/>
        <v>2</v>
      </c>
      <c r="X34" s="65">
        <f t="shared" ca="1" si="12"/>
        <v>40</v>
      </c>
      <c r="Y34" s="66" t="str">
        <f t="shared" ca="1" si="13"/>
        <v>Tesouro Direto</v>
      </c>
      <c r="Z34" s="69">
        <f t="shared" ca="1" si="14"/>
        <v>400</v>
      </c>
      <c r="AA34" s="69">
        <f t="shared" ca="1" si="15"/>
        <v>4800</v>
      </c>
      <c r="AB34" s="67">
        <f t="shared" ca="1" si="16"/>
        <v>8.3333333333333329E-2</v>
      </c>
      <c r="AC34" s="69">
        <f t="shared" ca="1" si="17"/>
        <v>4400</v>
      </c>
      <c r="AD34" s="69">
        <f t="shared" ca="1" si="18"/>
        <v>0</v>
      </c>
      <c r="AE34" s="68"/>
      <c r="AF34" s="36"/>
      <c r="AI34" s="88" t="str">
        <f ca="1">Cálculos!I40</f>
        <v>Outro</v>
      </c>
      <c r="AJ34" s="89">
        <f ca="1">Cálculos!J40</f>
        <v>1630</v>
      </c>
      <c r="AK34" s="37"/>
      <c r="AM34" s="36"/>
      <c r="AP34" s="88" t="str">
        <f ca="1">Cálculos!M40</f>
        <v/>
      </c>
      <c r="AQ34" s="89" t="str">
        <f ca="1">Cálculos!N40</f>
        <v/>
      </c>
      <c r="AR34" s="37"/>
    </row>
    <row r="35" spans="3:44">
      <c r="C35" s="36">
        <f>IF(C34=-1,-1,
      IF(C34&lt;income_max_row, C34+1,
         IF(C34=income_max_row, income_total_row,
            IF(C34=income_total_row, "/1",
                IF(C34="/1", expenses_header_row,
                    IF(C34&lt;expenses_max_row, C34+1,
                        IF(C34=expenses_max_row, expenses_total_row,
                            IF(C34=expenses_total_row, "/2",
                                IF(C34="/2", savings_header_row,
                                    IF(C34&lt;savings_max_row, C34+1,
                                        IF(C34=savings_max_row, savings_total_row, -1)))))))))))</f>
        <v>42</v>
      </c>
      <c r="D35" s="37">
        <f t="shared" si="0"/>
        <v>38</v>
      </c>
      <c r="E35" s="36">
        <f>1*OR(row_id=income_header_row, row_id=expenses_header_row, row_id=savings_header_row)</f>
        <v>0</v>
      </c>
      <c r="F35">
        <f t="shared" si="1"/>
        <v>1</v>
      </c>
      <c r="G35">
        <f>1*OR(row_id=income_total_row, row_id=expenses_total_row, row_id=savings_total_row)</f>
        <v>0</v>
      </c>
      <c r="H35" s="37">
        <f t="shared" si="2"/>
        <v>0</v>
      </c>
      <c r="I35" s="36" t="str">
        <f>IFERROR(INDEX('Planejamento Orçamentário'!$C:$C, header_row_id),"")</f>
        <v>Investimento</v>
      </c>
      <c r="J35" t="str">
        <f>IFERROR(INDEX('Planejamento Orçamentário'!$C:$C, row_id),"")</f>
        <v>Previdência Privada</v>
      </c>
      <c r="K35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1250</v>
      </c>
      <c r="L35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10200</v>
      </c>
      <c r="M35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32</v>
      </c>
      <c r="N35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36</v>
      </c>
      <c r="O35" s="36" t="str">
        <f t="shared" si="3"/>
        <v>$K$32:$K$36</v>
      </c>
      <c r="P35">
        <f t="shared" ca="1" si="4"/>
        <v>1</v>
      </c>
      <c r="Q35" t="str">
        <f t="shared" si="5"/>
        <v>$L$32:$L$36</v>
      </c>
      <c r="R35" s="37">
        <f t="shared" ca="1" si="6"/>
        <v>1</v>
      </c>
      <c r="S35" s="36">
        <f t="shared" ca="1" si="7"/>
        <v>11</v>
      </c>
      <c r="T35" t="str">
        <f t="shared" si="8"/>
        <v>$S$32:$S$36</v>
      </c>
      <c r="U35">
        <f t="shared" ca="1" si="9"/>
        <v>1</v>
      </c>
      <c r="V35" t="str">
        <f t="shared" si="10"/>
        <v>$U$32:$U$35</v>
      </c>
      <c r="W35" s="37">
        <f t="shared" ca="1" si="11"/>
        <v>1</v>
      </c>
      <c r="X35" s="65">
        <f t="shared" ca="1" si="12"/>
        <v>39</v>
      </c>
      <c r="Y35" s="66" t="str">
        <f t="shared" ca="1" si="13"/>
        <v>LCI</v>
      </c>
      <c r="Z35" s="69">
        <f t="shared" ca="1" si="14"/>
        <v>400</v>
      </c>
      <c r="AA35" s="69">
        <f t="shared" ca="1" si="15"/>
        <v>1200</v>
      </c>
      <c r="AB35" s="67">
        <f t="shared" ca="1" si="16"/>
        <v>0.33333333333333331</v>
      </c>
      <c r="AC35" s="69">
        <f t="shared" ca="1" si="17"/>
        <v>800</v>
      </c>
      <c r="AD35" s="69">
        <f t="shared" ca="1" si="18"/>
        <v>0</v>
      </c>
      <c r="AE35" s="68"/>
      <c r="AF35" s="36"/>
      <c r="AI35" s="90" t="str">
        <f>Cálculos!I41</f>
        <v>Total</v>
      </c>
      <c r="AJ35" s="91">
        <f ca="1">Cálculos!J41</f>
        <v>7890</v>
      </c>
      <c r="AK35" s="37"/>
      <c r="AM35" s="36"/>
      <c r="AP35" s="90" t="str">
        <f>Cálculos!M41</f>
        <v>Total</v>
      </c>
      <c r="AQ35" s="91">
        <f ca="1">Cálculos!N41</f>
        <v>3090</v>
      </c>
      <c r="AR35" s="37"/>
    </row>
    <row r="36" spans="3:44">
      <c r="C36" s="36">
        <f>IF(C35=-1,-1,
      IF(C35&lt;income_max_row, C35+1,
         IF(C35=income_max_row, income_total_row,
            IF(C35=income_total_row, "/1",
                IF(C35="/1", expenses_header_row,
                    IF(C35&lt;expenses_max_row, C35+1,
                        IF(C35=expenses_max_row, expenses_total_row,
                            IF(C35=expenses_total_row, "/2",
                                IF(C35="/2", savings_header_row,
                                    IF(C35&lt;savings_max_row, C35+1,
                                        IF(C35=savings_max_row, savings_total_row, -1)))))))))))</f>
        <v>43</v>
      </c>
      <c r="D36" s="37">
        <f t="shared" si="0"/>
        <v>38</v>
      </c>
      <c r="E36" s="36">
        <f>1*OR(row_id=income_header_row, row_id=expenses_header_row, row_id=savings_header_row)</f>
        <v>0</v>
      </c>
      <c r="F36">
        <f t="shared" si="1"/>
        <v>1</v>
      </c>
      <c r="G36">
        <f>1*OR(row_id=income_total_row, row_id=expenses_total_row, row_id=savings_total_row)</f>
        <v>0</v>
      </c>
      <c r="H36" s="37">
        <f t="shared" si="2"/>
        <v>0</v>
      </c>
      <c r="I36" s="36" t="str">
        <f>IFERROR(INDEX('Planejamento Orçamentário'!$C:$C, header_row_id),"")</f>
        <v>Investimento</v>
      </c>
      <c r="J36" t="str">
        <f>IFERROR(INDEX('Planejamento Orçamentário'!$C:$C, row_id),"")</f>
        <v>LCI</v>
      </c>
      <c r="K36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400</v>
      </c>
      <c r="L36" s="63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>1200</v>
      </c>
      <c r="M36" s="36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>32</v>
      </c>
      <c r="N36" s="37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>36</v>
      </c>
      <c r="O36" s="36" t="str">
        <f t="shared" si="3"/>
        <v>$K$32:$K$36</v>
      </c>
      <c r="P36">
        <f t="shared" ca="1" si="4"/>
        <v>3</v>
      </c>
      <c r="Q36" t="str">
        <f t="shared" si="5"/>
        <v>$L$32:$L$36</v>
      </c>
      <c r="R36" s="37">
        <f t="shared" ca="1" si="6"/>
        <v>5</v>
      </c>
      <c r="S36" s="36">
        <f t="shared" ca="1" si="7"/>
        <v>35</v>
      </c>
      <c r="T36" t="str">
        <f t="shared" si="8"/>
        <v>$S$32:$S$36</v>
      </c>
      <c r="U36">
        <f t="shared" ca="1" si="9"/>
        <v>4</v>
      </c>
      <c r="V36" t="str">
        <f t="shared" si="10"/>
        <v>$U$32:$U$36</v>
      </c>
      <c r="W36" s="37">
        <f t="shared" ca="1" si="11"/>
        <v>4</v>
      </c>
      <c r="X36" s="65">
        <f t="shared" ca="1" si="12"/>
        <v>42</v>
      </c>
      <c r="Y36" s="66" t="str">
        <f t="shared" ca="1" si="13"/>
        <v>Reserva de Emergência</v>
      </c>
      <c r="Z36" s="69">
        <f t="shared" ca="1" si="14"/>
        <v>140</v>
      </c>
      <c r="AA36" s="69">
        <f t="shared" ca="1" si="15"/>
        <v>3000</v>
      </c>
      <c r="AB36" s="67">
        <f t="shared" ca="1" si="16"/>
        <v>4.6666666666666669E-2</v>
      </c>
      <c r="AC36" s="69">
        <f t="shared" ca="1" si="17"/>
        <v>2860</v>
      </c>
      <c r="AD36" s="69">
        <f t="shared" ca="1" si="18"/>
        <v>0</v>
      </c>
      <c r="AE36" s="68"/>
      <c r="AF36" s="36"/>
      <c r="AK36" s="37"/>
      <c r="AM36" s="36"/>
      <c r="AR36" s="37"/>
    </row>
    <row r="37" spans="3:44">
      <c r="C37" s="36">
        <f>IF(C36=-1,-1,
      IF(C36&lt;income_max_row, C36+1,
         IF(C36=income_max_row, income_total_row,
            IF(C36=income_total_row, "/1",
                IF(C36="/1", expenses_header_row,
                    IF(C36&lt;expenses_max_row, C36+1,
                        IF(C36=expenses_max_row, expenses_total_row,
                            IF(C36=expenses_total_row, "/2",
                                IF(C36="/2", savings_header_row,
                                    IF(C36&lt;savings_max_row, C36+1,
                                        IF(C36=savings_max_row, savings_total_row, -1)))))))))))</f>
        <v>49</v>
      </c>
      <c r="D37" s="37">
        <f t="shared" si="0"/>
        <v>38</v>
      </c>
      <c r="E37" s="36">
        <f>1*OR(row_id=income_header_row, row_id=expenses_header_row, row_id=savings_header_row)</f>
        <v>0</v>
      </c>
      <c r="F37">
        <f t="shared" si="1"/>
        <v>0</v>
      </c>
      <c r="G37">
        <f>1*OR(row_id=income_total_row, row_id=expenses_total_row, row_id=savings_total_row)</f>
        <v>1</v>
      </c>
      <c r="H37" s="37">
        <f t="shared" si="2"/>
        <v>0</v>
      </c>
      <c r="I37" s="36" t="str">
        <f>IFERROR(INDEX('Planejamento Orçamentário'!$C:$C, header_row_id),"")</f>
        <v>Investimento</v>
      </c>
      <c r="J37" t="str">
        <f>IFERROR(INDEX('Planejamento Orçamentário'!$C:$C, row_id),"")</f>
        <v>Total</v>
      </c>
      <c r="K37" s="62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>3090</v>
      </c>
      <c r="L37" s="63">
        <f ca="1">IF(OR(is_header, is_empty), "",
      INDEX('Planejamento Orçamentário'!$E:$EM, row_id,
                   MATCH(IF(selected_period="Ano Total", selected_year, DATE(selected_year, selected_period, 1)), 'Planejamento Orçamentário'!$E$9:$EM$9, 0) ))</f>
        <v>26400</v>
      </c>
      <c r="M37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37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37" s="36" t="str">
        <f t="shared" si="3"/>
        <v/>
      </c>
      <c r="P37" t="str">
        <f t="shared" ca="1" si="4"/>
        <v/>
      </c>
      <c r="Q37" t="str">
        <f t="shared" si="5"/>
        <v/>
      </c>
      <c r="R37" s="37" t="str">
        <f t="shared" ca="1" si="6"/>
        <v/>
      </c>
      <c r="S37" s="36" t="str">
        <f t="shared" si="7"/>
        <v/>
      </c>
      <c r="T37" t="str">
        <f t="shared" si="8"/>
        <v/>
      </c>
      <c r="U37" t="str">
        <f t="shared" ca="1" si="9"/>
        <v/>
      </c>
      <c r="V37" t="str">
        <f t="shared" si="10"/>
        <v/>
      </c>
      <c r="W37" s="37" t="str">
        <f t="shared" ca="1" si="11"/>
        <v/>
      </c>
      <c r="X37" s="65">
        <f t="shared" si="12"/>
        <v>49</v>
      </c>
      <c r="Y37" s="66" t="str">
        <f t="shared" ca="1" si="13"/>
        <v>Total</v>
      </c>
      <c r="Z37" s="69">
        <f t="shared" ca="1" si="14"/>
        <v>3090</v>
      </c>
      <c r="AA37" s="69">
        <f t="shared" ca="1" si="15"/>
        <v>26400</v>
      </c>
      <c r="AB37" s="67">
        <f t="shared" ca="1" si="16"/>
        <v>0.11704545454545455</v>
      </c>
      <c r="AC37" s="69">
        <f t="shared" ca="1" si="17"/>
        <v>23310</v>
      </c>
      <c r="AD37" s="69">
        <f t="shared" ca="1" si="18"/>
        <v>0</v>
      </c>
      <c r="AE37" s="68"/>
      <c r="AF37" s="38"/>
      <c r="AG37" s="39"/>
      <c r="AH37" s="39"/>
      <c r="AI37" s="39"/>
      <c r="AJ37" s="39"/>
      <c r="AK37" s="40"/>
      <c r="AM37" s="38"/>
      <c r="AN37" s="39"/>
      <c r="AO37" s="39"/>
      <c r="AP37" s="39"/>
      <c r="AQ37" s="39"/>
      <c r="AR37" s="40"/>
    </row>
    <row r="38" spans="3:44">
      <c r="C38" s="36">
        <f>IF(C37=-1,-1,
      IF(C37&lt;income_max_row, C37+1,
         IF(C37=income_max_row, income_total_row,
            IF(C37=income_total_row, "/1",
                IF(C37="/1", expenses_header_row,
                    IF(C37&lt;expenses_max_row, C37+1,
                        IF(C37=expenses_max_row, expenses_total_row,
                            IF(C37=expenses_total_row, "/2",
                                IF(C37="/2", savings_header_row,
                                    IF(C37&lt;savings_max_row, C37+1,
                                        IF(C37=savings_max_row, savings_total_row, -1)))))))))))</f>
        <v>-1</v>
      </c>
      <c r="D38" s="37">
        <f t="shared" si="0"/>
        <v>-1</v>
      </c>
      <c r="E38" s="36">
        <f>1*OR(row_id=income_header_row, row_id=expenses_header_row, row_id=savings_header_row)</f>
        <v>0</v>
      </c>
      <c r="F38">
        <f t="shared" si="1"/>
        <v>0</v>
      </c>
      <c r="G38">
        <f>1*OR(row_id=income_total_row, row_id=expenses_total_row, row_id=savings_total_row)</f>
        <v>0</v>
      </c>
      <c r="H38" s="37">
        <f t="shared" si="2"/>
        <v>1</v>
      </c>
      <c r="I38" s="36" t="str">
        <f>IFERROR(INDEX('Planejamento Orçamentário'!$C:$C, header_row_id),"")</f>
        <v/>
      </c>
      <c r="J38" t="str">
        <f>IFERROR(INDEX('Planejamento Orçamentário'!$C:$C, row_id),"")</f>
        <v/>
      </c>
      <c r="K38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38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38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38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38" s="36" t="str">
        <f t="shared" si="3"/>
        <v/>
      </c>
      <c r="P38" t="str">
        <f t="shared" ca="1" si="4"/>
        <v/>
      </c>
      <c r="Q38" t="str">
        <f t="shared" si="5"/>
        <v/>
      </c>
      <c r="R38" s="37" t="str">
        <f t="shared" ca="1" si="6"/>
        <v/>
      </c>
      <c r="S38" s="36" t="str">
        <f t="shared" si="7"/>
        <v/>
      </c>
      <c r="T38" t="str">
        <f t="shared" si="8"/>
        <v/>
      </c>
      <c r="U38" t="str">
        <f t="shared" ca="1" si="9"/>
        <v/>
      </c>
      <c r="V38" t="str">
        <f t="shared" si="10"/>
        <v/>
      </c>
      <c r="W38" s="37" t="str">
        <f t="shared" ca="1" si="11"/>
        <v/>
      </c>
      <c r="X38" s="65">
        <f t="shared" si="12"/>
        <v>-1</v>
      </c>
      <c r="Y38" s="66" t="str">
        <f t="shared" si="13"/>
        <v/>
      </c>
      <c r="Z38" s="69" t="str">
        <f t="shared" si="14"/>
        <v/>
      </c>
      <c r="AA38" s="69" t="str">
        <f t="shared" si="15"/>
        <v/>
      </c>
      <c r="AB38" s="67" t="str">
        <f t="shared" si="16"/>
        <v/>
      </c>
      <c r="AC38" s="69" t="str">
        <f t="shared" si="17"/>
        <v/>
      </c>
      <c r="AD38" s="69" t="str">
        <f t="shared" si="18"/>
        <v/>
      </c>
      <c r="AE38" s="68"/>
    </row>
    <row r="39" spans="3:44">
      <c r="C39" s="36">
        <f>IF(C38=-1,-1,
      IF(C38&lt;income_max_row, C38+1,
         IF(C38=income_max_row, income_total_row,
            IF(C38=income_total_row, "/1",
                IF(C38="/1", expenses_header_row,
                    IF(C38&lt;expenses_max_row, C38+1,
                        IF(C38=expenses_max_row, expenses_total_row,
                            IF(C38=expenses_total_row, "/2",
                                IF(C38="/2", savings_header_row,
                                    IF(C38&lt;savings_max_row, C38+1,
                                        IF(C38=savings_max_row, savings_total_row, -1)))))))))))</f>
        <v>-1</v>
      </c>
      <c r="D39" s="37">
        <f t="shared" si="0"/>
        <v>-1</v>
      </c>
      <c r="E39" s="36">
        <f>1*OR(row_id=income_header_row, row_id=expenses_header_row, row_id=savings_header_row)</f>
        <v>0</v>
      </c>
      <c r="F39">
        <f t="shared" si="1"/>
        <v>0</v>
      </c>
      <c r="G39">
        <f>1*OR(row_id=income_total_row, row_id=expenses_total_row, row_id=savings_total_row)</f>
        <v>0</v>
      </c>
      <c r="H39" s="37">
        <f t="shared" si="2"/>
        <v>1</v>
      </c>
      <c r="I39" s="36" t="str">
        <f>IFERROR(INDEX('Planejamento Orçamentário'!$C:$C, header_row_id),"")</f>
        <v/>
      </c>
      <c r="J39" t="str">
        <f>IFERROR(INDEX('Planejamento Orçamentário'!$C:$C, row_id),"")</f>
        <v/>
      </c>
      <c r="K39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39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39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39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39" s="36" t="str">
        <f t="shared" si="3"/>
        <v/>
      </c>
      <c r="P39" t="str">
        <f t="shared" ca="1" si="4"/>
        <v/>
      </c>
      <c r="Q39" t="str">
        <f t="shared" si="5"/>
        <v/>
      </c>
      <c r="R39" s="37" t="str">
        <f t="shared" ca="1" si="6"/>
        <v/>
      </c>
      <c r="S39" s="36" t="str">
        <f t="shared" si="7"/>
        <v/>
      </c>
      <c r="T39" t="str">
        <f t="shared" si="8"/>
        <v/>
      </c>
      <c r="U39" t="str">
        <f t="shared" ca="1" si="9"/>
        <v/>
      </c>
      <c r="V39" t="str">
        <f t="shared" si="10"/>
        <v/>
      </c>
      <c r="W39" s="37" t="str">
        <f t="shared" ca="1" si="11"/>
        <v/>
      </c>
      <c r="X39" s="65">
        <f t="shared" si="12"/>
        <v>-1</v>
      </c>
      <c r="Y39" s="66" t="str">
        <f t="shared" si="13"/>
        <v/>
      </c>
      <c r="Z39" s="69" t="str">
        <f t="shared" si="14"/>
        <v/>
      </c>
      <c r="AA39" s="69" t="str">
        <f t="shared" si="15"/>
        <v/>
      </c>
      <c r="AB39" s="67" t="str">
        <f t="shared" si="16"/>
        <v/>
      </c>
      <c r="AC39" s="69" t="str">
        <f t="shared" si="17"/>
        <v/>
      </c>
      <c r="AD39" s="69" t="str">
        <f t="shared" si="18"/>
        <v/>
      </c>
      <c r="AE39" s="68"/>
    </row>
    <row r="40" spans="3:44">
      <c r="C40" s="36">
        <f>IF(C39=-1,-1,
      IF(C39&lt;income_max_row, C39+1,
         IF(C39=income_max_row, income_total_row,
            IF(C39=income_total_row, "/1",
                IF(C39="/1", expenses_header_row,
                    IF(C39&lt;expenses_max_row, C39+1,
                        IF(C39=expenses_max_row, expenses_total_row,
                            IF(C39=expenses_total_row, "/2",
                                IF(C39="/2", savings_header_row,
                                    IF(C39&lt;savings_max_row, C39+1,
                                        IF(C39=savings_max_row, savings_total_row, -1)))))))))))</f>
        <v>-1</v>
      </c>
      <c r="D40" s="37">
        <f t="shared" si="0"/>
        <v>-1</v>
      </c>
      <c r="E40" s="36">
        <f>1*OR(row_id=income_header_row, row_id=expenses_header_row, row_id=savings_header_row)</f>
        <v>0</v>
      </c>
      <c r="F40">
        <f t="shared" si="1"/>
        <v>0</v>
      </c>
      <c r="G40">
        <f>1*OR(row_id=income_total_row, row_id=expenses_total_row, row_id=savings_total_row)</f>
        <v>0</v>
      </c>
      <c r="H40" s="37">
        <f t="shared" si="2"/>
        <v>1</v>
      </c>
      <c r="I40" s="36" t="str">
        <f>IFERROR(INDEX('Planejamento Orçamentário'!$C:$C, header_row_id),"")</f>
        <v/>
      </c>
      <c r="J40" t="str">
        <f>IFERROR(INDEX('Planejamento Orçamentário'!$C:$C, row_id),"")</f>
        <v/>
      </c>
      <c r="K40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0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0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0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0" s="36" t="str">
        <f t="shared" si="3"/>
        <v/>
      </c>
      <c r="P40" t="str">
        <f t="shared" ca="1" si="4"/>
        <v/>
      </c>
      <c r="Q40" t="str">
        <f t="shared" si="5"/>
        <v/>
      </c>
      <c r="R40" s="37" t="str">
        <f t="shared" ca="1" si="6"/>
        <v/>
      </c>
      <c r="S40" s="36" t="str">
        <f t="shared" si="7"/>
        <v/>
      </c>
      <c r="T40" t="str">
        <f t="shared" si="8"/>
        <v/>
      </c>
      <c r="U40" t="str">
        <f t="shared" ca="1" si="9"/>
        <v/>
      </c>
      <c r="V40" t="str">
        <f t="shared" si="10"/>
        <v/>
      </c>
      <c r="W40" s="37" t="str">
        <f t="shared" ca="1" si="11"/>
        <v/>
      </c>
      <c r="X40" s="65">
        <f t="shared" si="12"/>
        <v>-1</v>
      </c>
      <c r="Y40" s="66" t="str">
        <f t="shared" si="13"/>
        <v/>
      </c>
      <c r="Z40" s="69" t="str">
        <f t="shared" si="14"/>
        <v/>
      </c>
      <c r="AA40" s="69" t="str">
        <f t="shared" si="15"/>
        <v/>
      </c>
      <c r="AB40" s="67" t="str">
        <f t="shared" si="16"/>
        <v/>
      </c>
      <c r="AC40" s="69" t="str">
        <f t="shared" si="17"/>
        <v/>
      </c>
      <c r="AD40" s="69" t="str">
        <f t="shared" si="18"/>
        <v/>
      </c>
      <c r="AE40" s="68"/>
    </row>
    <row r="41" spans="3:44">
      <c r="C41" s="36">
        <f>IF(C40=-1,-1,
      IF(C40&lt;income_max_row, C40+1,
         IF(C40=income_max_row, income_total_row,
            IF(C40=income_total_row, "/1",
                IF(C40="/1", expenses_header_row,
                    IF(C40&lt;expenses_max_row, C40+1,
                        IF(C40=expenses_max_row, expenses_total_row,
                            IF(C40=expenses_total_row, "/2",
                                IF(C40="/2", savings_header_row,
                                    IF(C40&lt;savings_max_row, C40+1,
                                        IF(C40=savings_max_row, savings_total_row, -1)))))))))))</f>
        <v>-1</v>
      </c>
      <c r="D41" s="37">
        <f t="shared" si="0"/>
        <v>-1</v>
      </c>
      <c r="E41" s="36">
        <f>1*OR(row_id=income_header_row, row_id=expenses_header_row, row_id=savings_header_row)</f>
        <v>0</v>
      </c>
      <c r="F41">
        <f t="shared" si="1"/>
        <v>0</v>
      </c>
      <c r="G41">
        <f>1*OR(row_id=income_total_row, row_id=expenses_total_row, row_id=savings_total_row)</f>
        <v>0</v>
      </c>
      <c r="H41" s="37">
        <f t="shared" si="2"/>
        <v>1</v>
      </c>
      <c r="I41" s="36" t="str">
        <f>IFERROR(INDEX('Planejamento Orçamentário'!$C:$C, header_row_id),"")</f>
        <v/>
      </c>
      <c r="J41" t="str">
        <f>IFERROR(INDEX('Planejamento Orçamentário'!$C:$C, row_id),"")</f>
        <v/>
      </c>
      <c r="K41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1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1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1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1" s="36" t="str">
        <f t="shared" si="3"/>
        <v/>
      </c>
      <c r="P41" t="str">
        <f t="shared" ca="1" si="4"/>
        <v/>
      </c>
      <c r="Q41" t="str">
        <f t="shared" si="5"/>
        <v/>
      </c>
      <c r="R41" s="37" t="str">
        <f t="shared" ca="1" si="6"/>
        <v/>
      </c>
      <c r="S41" s="36" t="str">
        <f t="shared" si="7"/>
        <v/>
      </c>
      <c r="T41" t="str">
        <f t="shared" si="8"/>
        <v/>
      </c>
      <c r="U41" t="str">
        <f t="shared" ca="1" si="9"/>
        <v/>
      </c>
      <c r="V41" t="str">
        <f t="shared" si="10"/>
        <v/>
      </c>
      <c r="W41" s="37" t="str">
        <f t="shared" ca="1" si="11"/>
        <v/>
      </c>
      <c r="X41" s="65">
        <f t="shared" si="12"/>
        <v>-1</v>
      </c>
      <c r="Y41" s="66" t="str">
        <f t="shared" si="13"/>
        <v/>
      </c>
      <c r="Z41" s="69" t="str">
        <f t="shared" si="14"/>
        <v/>
      </c>
      <c r="AA41" s="69" t="str">
        <f t="shared" si="15"/>
        <v/>
      </c>
      <c r="AB41" s="67" t="str">
        <f t="shared" si="16"/>
        <v/>
      </c>
      <c r="AC41" s="69" t="str">
        <f t="shared" si="17"/>
        <v/>
      </c>
      <c r="AD41" s="69" t="str">
        <f t="shared" si="18"/>
        <v/>
      </c>
      <c r="AE41" s="68"/>
    </row>
    <row r="42" spans="3:44">
      <c r="C42" s="36">
        <f>IF(C41=-1,-1,
      IF(C41&lt;income_max_row, C41+1,
         IF(C41=income_max_row, income_total_row,
            IF(C41=income_total_row, "/1",
                IF(C41="/1", expenses_header_row,
                    IF(C41&lt;expenses_max_row, C41+1,
                        IF(C41=expenses_max_row, expenses_total_row,
                            IF(C41=expenses_total_row, "/2",
                                IF(C41="/2", savings_header_row,
                                    IF(C41&lt;savings_max_row, C41+1,
                                        IF(C41=savings_max_row, savings_total_row, -1)))))))))))</f>
        <v>-1</v>
      </c>
      <c r="D42" s="37">
        <f t="shared" si="0"/>
        <v>-1</v>
      </c>
      <c r="E42" s="36">
        <f>1*OR(row_id=income_header_row, row_id=expenses_header_row, row_id=savings_header_row)</f>
        <v>0</v>
      </c>
      <c r="F42">
        <f t="shared" si="1"/>
        <v>0</v>
      </c>
      <c r="G42">
        <f>1*OR(row_id=income_total_row, row_id=expenses_total_row, row_id=savings_total_row)</f>
        <v>0</v>
      </c>
      <c r="H42" s="37">
        <f t="shared" si="2"/>
        <v>1</v>
      </c>
      <c r="I42" s="36" t="str">
        <f>IFERROR(INDEX('Planejamento Orçamentário'!$C:$C, header_row_id),"")</f>
        <v/>
      </c>
      <c r="J42" t="str">
        <f>IFERROR(INDEX('Planejamento Orçamentário'!$C:$C, row_id),"")</f>
        <v/>
      </c>
      <c r="K42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2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2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2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2" s="36" t="str">
        <f t="shared" si="3"/>
        <v/>
      </c>
      <c r="P42" t="str">
        <f t="shared" ca="1" si="4"/>
        <v/>
      </c>
      <c r="Q42" t="str">
        <f t="shared" si="5"/>
        <v/>
      </c>
      <c r="R42" s="37" t="str">
        <f t="shared" ca="1" si="6"/>
        <v/>
      </c>
      <c r="S42" s="36" t="str">
        <f t="shared" si="7"/>
        <v/>
      </c>
      <c r="T42" t="str">
        <f t="shared" si="8"/>
        <v/>
      </c>
      <c r="U42" t="str">
        <f t="shared" ca="1" si="9"/>
        <v/>
      </c>
      <c r="V42" t="str">
        <f t="shared" si="10"/>
        <v/>
      </c>
      <c r="W42" s="37" t="str">
        <f t="shared" ca="1" si="11"/>
        <v/>
      </c>
      <c r="X42" s="65">
        <f t="shared" si="12"/>
        <v>-1</v>
      </c>
      <c r="Y42" s="66" t="str">
        <f t="shared" si="13"/>
        <v/>
      </c>
      <c r="Z42" s="69" t="str">
        <f t="shared" si="14"/>
        <v/>
      </c>
      <c r="AA42" s="69" t="str">
        <f t="shared" si="15"/>
        <v/>
      </c>
      <c r="AB42" s="67" t="str">
        <f t="shared" si="16"/>
        <v/>
      </c>
      <c r="AC42" s="69" t="str">
        <f t="shared" si="17"/>
        <v/>
      </c>
      <c r="AD42" s="69" t="str">
        <f t="shared" si="18"/>
        <v/>
      </c>
      <c r="AE42" s="68"/>
    </row>
    <row r="43" spans="3:44">
      <c r="C43" s="36">
        <f>IF(C42=-1,-1,
      IF(C42&lt;income_max_row, C42+1,
         IF(C42=income_max_row, income_total_row,
            IF(C42=income_total_row, "/1",
                IF(C42="/1", expenses_header_row,
                    IF(C42&lt;expenses_max_row, C42+1,
                        IF(C42=expenses_max_row, expenses_total_row,
                            IF(C42=expenses_total_row, "/2",
                                IF(C42="/2", savings_header_row,
                                    IF(C42&lt;savings_max_row, C42+1,
                                        IF(C42=savings_max_row, savings_total_row, -1)))))))))))</f>
        <v>-1</v>
      </c>
      <c r="D43" s="37">
        <f t="shared" si="0"/>
        <v>-1</v>
      </c>
      <c r="E43" s="36">
        <f>1*OR(row_id=income_header_row, row_id=expenses_header_row, row_id=savings_header_row)</f>
        <v>0</v>
      </c>
      <c r="F43">
        <f t="shared" si="1"/>
        <v>0</v>
      </c>
      <c r="G43">
        <f>1*OR(row_id=income_total_row, row_id=expenses_total_row, row_id=savings_total_row)</f>
        <v>0</v>
      </c>
      <c r="H43" s="37">
        <f t="shared" si="2"/>
        <v>1</v>
      </c>
      <c r="I43" s="36" t="str">
        <f>IFERROR(INDEX('Planejamento Orçamentário'!$C:$C, header_row_id),"")</f>
        <v/>
      </c>
      <c r="J43" t="str">
        <f>IFERROR(INDEX('Planejamento Orçamentário'!$C:$C, row_id),"")</f>
        <v/>
      </c>
      <c r="K43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3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3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3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3" s="36" t="str">
        <f t="shared" si="3"/>
        <v/>
      </c>
      <c r="P43" t="str">
        <f t="shared" ca="1" si="4"/>
        <v/>
      </c>
      <c r="Q43" t="str">
        <f t="shared" si="5"/>
        <v/>
      </c>
      <c r="R43" s="37" t="str">
        <f t="shared" ca="1" si="6"/>
        <v/>
      </c>
      <c r="S43" s="36" t="str">
        <f t="shared" si="7"/>
        <v/>
      </c>
      <c r="T43" t="str">
        <f t="shared" si="8"/>
        <v/>
      </c>
      <c r="U43" t="str">
        <f t="shared" ca="1" si="9"/>
        <v/>
      </c>
      <c r="V43" t="str">
        <f t="shared" si="10"/>
        <v/>
      </c>
      <c r="W43" s="37" t="str">
        <f t="shared" ca="1" si="11"/>
        <v/>
      </c>
      <c r="X43" s="65">
        <f t="shared" si="12"/>
        <v>-1</v>
      </c>
      <c r="Y43" s="66" t="str">
        <f t="shared" si="13"/>
        <v/>
      </c>
      <c r="Z43" s="69" t="str">
        <f t="shared" si="14"/>
        <v/>
      </c>
      <c r="AA43" s="69" t="str">
        <f t="shared" si="15"/>
        <v/>
      </c>
      <c r="AB43" s="67" t="str">
        <f t="shared" si="16"/>
        <v/>
      </c>
      <c r="AC43" s="69" t="str">
        <f t="shared" si="17"/>
        <v/>
      </c>
      <c r="AD43" s="69" t="str">
        <f t="shared" si="18"/>
        <v/>
      </c>
      <c r="AE43" s="68"/>
    </row>
    <row r="44" spans="3:44">
      <c r="C44" s="36">
        <f>IF(C43=-1,-1,
      IF(C43&lt;income_max_row, C43+1,
         IF(C43=income_max_row, income_total_row,
            IF(C43=income_total_row, "/1",
                IF(C43="/1", expenses_header_row,
                    IF(C43&lt;expenses_max_row, C43+1,
                        IF(C43=expenses_max_row, expenses_total_row,
                            IF(C43=expenses_total_row, "/2",
                                IF(C43="/2", savings_header_row,
                                    IF(C43&lt;savings_max_row, C43+1,
                                        IF(C43=savings_max_row, savings_total_row, -1)))))))))))</f>
        <v>-1</v>
      </c>
      <c r="D44" s="37">
        <f t="shared" si="0"/>
        <v>-1</v>
      </c>
      <c r="E44" s="36">
        <f>1*OR(row_id=income_header_row, row_id=expenses_header_row, row_id=savings_header_row)</f>
        <v>0</v>
      </c>
      <c r="F44">
        <f t="shared" si="1"/>
        <v>0</v>
      </c>
      <c r="G44">
        <f>1*OR(row_id=income_total_row, row_id=expenses_total_row, row_id=savings_total_row)</f>
        <v>0</v>
      </c>
      <c r="H44" s="37">
        <f t="shared" si="2"/>
        <v>1</v>
      </c>
      <c r="I44" s="36" t="str">
        <f>IFERROR(INDEX('Planejamento Orçamentário'!$C:$C, header_row_id),"")</f>
        <v/>
      </c>
      <c r="J44" t="str">
        <f>IFERROR(INDEX('Planejamento Orçamentário'!$C:$C, row_id),"")</f>
        <v/>
      </c>
      <c r="K44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4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4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4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4" s="36" t="str">
        <f t="shared" si="3"/>
        <v/>
      </c>
      <c r="P44" t="str">
        <f t="shared" ca="1" si="4"/>
        <v/>
      </c>
      <c r="Q44" t="str">
        <f t="shared" si="5"/>
        <v/>
      </c>
      <c r="R44" s="37" t="str">
        <f t="shared" ca="1" si="6"/>
        <v/>
      </c>
      <c r="S44" s="36" t="str">
        <f t="shared" si="7"/>
        <v/>
      </c>
      <c r="T44" t="str">
        <f t="shared" si="8"/>
        <v/>
      </c>
      <c r="U44" t="str">
        <f t="shared" ca="1" si="9"/>
        <v/>
      </c>
      <c r="V44" t="str">
        <f t="shared" si="10"/>
        <v/>
      </c>
      <c r="W44" s="37" t="str">
        <f t="shared" ca="1" si="11"/>
        <v/>
      </c>
      <c r="X44" s="65">
        <f t="shared" si="12"/>
        <v>-1</v>
      </c>
      <c r="Y44" s="66" t="str">
        <f t="shared" si="13"/>
        <v/>
      </c>
      <c r="Z44" s="69" t="str">
        <f t="shared" si="14"/>
        <v/>
      </c>
      <c r="AA44" s="69" t="str">
        <f t="shared" si="15"/>
        <v/>
      </c>
      <c r="AB44" s="67" t="str">
        <f t="shared" si="16"/>
        <v/>
      </c>
      <c r="AC44" s="69" t="str">
        <f t="shared" si="17"/>
        <v/>
      </c>
      <c r="AD44" s="69" t="str">
        <f t="shared" si="18"/>
        <v/>
      </c>
      <c r="AE44" s="68"/>
    </row>
    <row r="45" spans="3:44">
      <c r="C45" s="36">
        <f>IF(C44=-1,-1,
      IF(C44&lt;income_max_row, C44+1,
         IF(C44=income_max_row, income_total_row,
            IF(C44=income_total_row, "/1",
                IF(C44="/1", expenses_header_row,
                    IF(C44&lt;expenses_max_row, C44+1,
                        IF(C44=expenses_max_row, expenses_total_row,
                            IF(C44=expenses_total_row, "/2",
                                IF(C44="/2", savings_header_row,
                                    IF(C44&lt;savings_max_row, C44+1,
                                        IF(C44=savings_max_row, savings_total_row, -1)))))))))))</f>
        <v>-1</v>
      </c>
      <c r="D45" s="37">
        <f t="shared" si="0"/>
        <v>-1</v>
      </c>
      <c r="E45" s="36">
        <f>1*OR(row_id=income_header_row, row_id=expenses_header_row, row_id=savings_header_row)</f>
        <v>0</v>
      </c>
      <c r="F45">
        <f t="shared" si="1"/>
        <v>0</v>
      </c>
      <c r="G45">
        <f>1*OR(row_id=income_total_row, row_id=expenses_total_row, row_id=savings_total_row)</f>
        <v>0</v>
      </c>
      <c r="H45" s="37">
        <f t="shared" si="2"/>
        <v>1</v>
      </c>
      <c r="I45" s="36" t="str">
        <f>IFERROR(INDEX('Planejamento Orçamentário'!$C:$C, header_row_id),"")</f>
        <v/>
      </c>
      <c r="J45" t="str">
        <f>IFERROR(INDEX('Planejamento Orçamentário'!$C:$C, row_id),"")</f>
        <v/>
      </c>
      <c r="K45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5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5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5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5" s="36" t="str">
        <f t="shared" si="3"/>
        <v/>
      </c>
      <c r="P45" t="str">
        <f t="shared" ca="1" si="4"/>
        <v/>
      </c>
      <c r="Q45" t="str">
        <f t="shared" si="5"/>
        <v/>
      </c>
      <c r="R45" s="37" t="str">
        <f t="shared" ca="1" si="6"/>
        <v/>
      </c>
      <c r="S45" s="36" t="str">
        <f t="shared" si="7"/>
        <v/>
      </c>
      <c r="T45" t="str">
        <f t="shared" si="8"/>
        <v/>
      </c>
      <c r="U45" t="str">
        <f t="shared" ca="1" si="9"/>
        <v/>
      </c>
      <c r="V45" t="str">
        <f t="shared" si="10"/>
        <v/>
      </c>
      <c r="W45" s="37" t="str">
        <f t="shared" ca="1" si="11"/>
        <v/>
      </c>
      <c r="X45" s="65">
        <f t="shared" si="12"/>
        <v>-1</v>
      </c>
      <c r="Y45" s="66" t="str">
        <f t="shared" si="13"/>
        <v/>
      </c>
      <c r="Z45" s="69" t="str">
        <f t="shared" si="14"/>
        <v/>
      </c>
      <c r="AA45" s="69" t="str">
        <f t="shared" si="15"/>
        <v/>
      </c>
      <c r="AB45" s="67" t="str">
        <f t="shared" si="16"/>
        <v/>
      </c>
      <c r="AC45" s="69" t="str">
        <f t="shared" si="17"/>
        <v/>
      </c>
      <c r="AD45" s="69" t="str">
        <f t="shared" si="18"/>
        <v/>
      </c>
      <c r="AE45" s="68"/>
    </row>
    <row r="46" spans="3:44">
      <c r="C46" s="36">
        <f>IF(C45=-1,-1,
      IF(C45&lt;income_max_row, C45+1,
         IF(C45=income_max_row, income_total_row,
            IF(C45=income_total_row, "/1",
                IF(C45="/1", expenses_header_row,
                    IF(C45&lt;expenses_max_row, C45+1,
                        IF(C45=expenses_max_row, expenses_total_row,
                            IF(C45=expenses_total_row, "/2",
                                IF(C45="/2", savings_header_row,
                                    IF(C45&lt;savings_max_row, C45+1,
                                        IF(C45=savings_max_row, savings_total_row, -1)))))))))))</f>
        <v>-1</v>
      </c>
      <c r="D46" s="37">
        <f t="shared" si="0"/>
        <v>-1</v>
      </c>
      <c r="E46" s="36">
        <f>1*OR(row_id=income_header_row, row_id=expenses_header_row, row_id=savings_header_row)</f>
        <v>0</v>
      </c>
      <c r="F46">
        <f t="shared" si="1"/>
        <v>0</v>
      </c>
      <c r="G46">
        <f>1*OR(row_id=income_total_row, row_id=expenses_total_row, row_id=savings_total_row)</f>
        <v>0</v>
      </c>
      <c r="H46" s="37">
        <f t="shared" si="2"/>
        <v>1</v>
      </c>
      <c r="I46" s="36" t="str">
        <f>IFERROR(INDEX('Planejamento Orçamentário'!$C:$C, header_row_id),"")</f>
        <v/>
      </c>
      <c r="J46" t="str">
        <f>IFERROR(INDEX('Planejamento Orçamentário'!$C:$C, row_id),"")</f>
        <v/>
      </c>
      <c r="K46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6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6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6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6" s="36" t="str">
        <f t="shared" si="3"/>
        <v/>
      </c>
      <c r="P46" t="str">
        <f t="shared" ca="1" si="4"/>
        <v/>
      </c>
      <c r="Q46" t="str">
        <f t="shared" si="5"/>
        <v/>
      </c>
      <c r="R46" s="37" t="str">
        <f t="shared" ca="1" si="6"/>
        <v/>
      </c>
      <c r="S46" s="36" t="str">
        <f t="shared" si="7"/>
        <v/>
      </c>
      <c r="T46" t="str">
        <f t="shared" si="8"/>
        <v/>
      </c>
      <c r="U46" t="str">
        <f t="shared" ca="1" si="9"/>
        <v/>
      </c>
      <c r="V46" t="str">
        <f t="shared" si="10"/>
        <v/>
      </c>
      <c r="W46" s="37" t="str">
        <f t="shared" ca="1" si="11"/>
        <v/>
      </c>
      <c r="X46" s="65">
        <f t="shared" si="12"/>
        <v>-1</v>
      </c>
      <c r="Y46" s="66" t="str">
        <f t="shared" si="13"/>
        <v/>
      </c>
      <c r="Z46" s="69" t="str">
        <f t="shared" si="14"/>
        <v/>
      </c>
      <c r="AA46" s="69" t="str">
        <f t="shared" si="15"/>
        <v/>
      </c>
      <c r="AB46" s="67" t="str">
        <f t="shared" si="16"/>
        <v/>
      </c>
      <c r="AC46" s="69" t="str">
        <f t="shared" si="17"/>
        <v/>
      </c>
      <c r="AD46" s="69" t="str">
        <f t="shared" si="18"/>
        <v/>
      </c>
      <c r="AE46" s="68"/>
    </row>
    <row r="47" spans="3:44">
      <c r="C47" s="36">
        <f>IF(C46=-1,-1,
      IF(C46&lt;income_max_row, C46+1,
         IF(C46=income_max_row, income_total_row,
            IF(C46=income_total_row, "/1",
                IF(C46="/1", expenses_header_row,
                    IF(C46&lt;expenses_max_row, C46+1,
                        IF(C46=expenses_max_row, expenses_total_row,
                            IF(C46=expenses_total_row, "/2",
                                IF(C46="/2", savings_header_row,
                                    IF(C46&lt;savings_max_row, C46+1,
                                        IF(C46=savings_max_row, savings_total_row, -1)))))))))))</f>
        <v>-1</v>
      </c>
      <c r="D47" s="37">
        <f t="shared" si="0"/>
        <v>-1</v>
      </c>
      <c r="E47" s="36">
        <f>1*OR(row_id=income_header_row, row_id=expenses_header_row, row_id=savings_header_row)</f>
        <v>0</v>
      </c>
      <c r="F47">
        <f t="shared" si="1"/>
        <v>0</v>
      </c>
      <c r="G47">
        <f>1*OR(row_id=income_total_row, row_id=expenses_total_row, row_id=savings_total_row)</f>
        <v>0</v>
      </c>
      <c r="H47" s="37">
        <f t="shared" si="2"/>
        <v>1</v>
      </c>
      <c r="I47" s="36" t="str">
        <f>IFERROR(INDEX('Planejamento Orçamentário'!$C:$C, header_row_id),"")</f>
        <v/>
      </c>
      <c r="J47" t="str">
        <f>IFERROR(INDEX('Planejamento Orçamentário'!$C:$C, row_id),"")</f>
        <v/>
      </c>
      <c r="K47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7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7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7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7" s="36" t="str">
        <f t="shared" si="3"/>
        <v/>
      </c>
      <c r="P47" t="str">
        <f t="shared" ca="1" si="4"/>
        <v/>
      </c>
      <c r="Q47" t="str">
        <f t="shared" si="5"/>
        <v/>
      </c>
      <c r="R47" s="37" t="str">
        <f t="shared" ca="1" si="6"/>
        <v/>
      </c>
      <c r="S47" s="36" t="str">
        <f t="shared" si="7"/>
        <v/>
      </c>
      <c r="T47" t="str">
        <f t="shared" si="8"/>
        <v/>
      </c>
      <c r="U47" t="str">
        <f t="shared" ca="1" si="9"/>
        <v/>
      </c>
      <c r="V47" t="str">
        <f t="shared" si="10"/>
        <v/>
      </c>
      <c r="W47" s="37" t="str">
        <f t="shared" ca="1" si="11"/>
        <v/>
      </c>
      <c r="X47" s="65">
        <f t="shared" si="12"/>
        <v>-1</v>
      </c>
      <c r="Y47" s="66" t="str">
        <f t="shared" si="13"/>
        <v/>
      </c>
      <c r="Z47" s="69" t="str">
        <f t="shared" si="14"/>
        <v/>
      </c>
      <c r="AA47" s="69" t="str">
        <f t="shared" si="15"/>
        <v/>
      </c>
      <c r="AB47" s="67" t="str">
        <f t="shared" si="16"/>
        <v/>
      </c>
      <c r="AC47" s="69" t="str">
        <f t="shared" si="17"/>
        <v/>
      </c>
      <c r="AD47" s="69" t="str">
        <f t="shared" si="18"/>
        <v/>
      </c>
      <c r="AE47" s="68"/>
    </row>
    <row r="48" spans="3:44">
      <c r="C48" s="36">
        <f>IF(C47=-1,-1,
      IF(C47&lt;income_max_row, C47+1,
         IF(C47=income_max_row, income_total_row,
            IF(C47=income_total_row, "/1",
                IF(C47="/1", expenses_header_row,
                    IF(C47&lt;expenses_max_row, C47+1,
                        IF(C47=expenses_max_row, expenses_total_row,
                            IF(C47=expenses_total_row, "/2",
                                IF(C47="/2", savings_header_row,
                                    IF(C47&lt;savings_max_row, C47+1,
                                        IF(C47=savings_max_row, savings_total_row, -1)))))))))))</f>
        <v>-1</v>
      </c>
      <c r="D48" s="37">
        <f t="shared" si="0"/>
        <v>-1</v>
      </c>
      <c r="E48" s="36">
        <f>1*OR(row_id=income_header_row, row_id=expenses_header_row, row_id=savings_header_row)</f>
        <v>0</v>
      </c>
      <c r="F48">
        <f t="shared" si="1"/>
        <v>0</v>
      </c>
      <c r="G48">
        <f>1*OR(row_id=income_total_row, row_id=expenses_total_row, row_id=savings_total_row)</f>
        <v>0</v>
      </c>
      <c r="H48" s="37">
        <f t="shared" si="2"/>
        <v>1</v>
      </c>
      <c r="I48" s="36" t="str">
        <f>IFERROR(INDEX('Planejamento Orçamentário'!$C:$C, header_row_id),"")</f>
        <v/>
      </c>
      <c r="J48" t="str">
        <f>IFERROR(INDEX('Planejamento Orçamentário'!$C:$C, row_id),"")</f>
        <v/>
      </c>
      <c r="K48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8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8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8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8" s="36" t="str">
        <f t="shared" si="3"/>
        <v/>
      </c>
      <c r="P48" t="str">
        <f t="shared" ca="1" si="4"/>
        <v/>
      </c>
      <c r="Q48" t="str">
        <f t="shared" si="5"/>
        <v/>
      </c>
      <c r="R48" s="37" t="str">
        <f t="shared" ca="1" si="6"/>
        <v/>
      </c>
      <c r="S48" s="36" t="str">
        <f t="shared" si="7"/>
        <v/>
      </c>
      <c r="T48" t="str">
        <f t="shared" si="8"/>
        <v/>
      </c>
      <c r="U48" t="str">
        <f t="shared" ca="1" si="9"/>
        <v/>
      </c>
      <c r="V48" t="str">
        <f t="shared" si="10"/>
        <v/>
      </c>
      <c r="W48" s="37" t="str">
        <f t="shared" ca="1" si="11"/>
        <v/>
      </c>
      <c r="X48" s="65">
        <f t="shared" si="12"/>
        <v>-1</v>
      </c>
      <c r="Y48" s="66" t="str">
        <f t="shared" si="13"/>
        <v/>
      </c>
      <c r="Z48" s="69" t="str">
        <f t="shared" si="14"/>
        <v/>
      </c>
      <c r="AA48" s="69" t="str">
        <f t="shared" si="15"/>
        <v/>
      </c>
      <c r="AB48" s="67" t="str">
        <f t="shared" si="16"/>
        <v/>
      </c>
      <c r="AC48" s="69" t="str">
        <f t="shared" si="17"/>
        <v/>
      </c>
      <c r="AD48" s="69" t="str">
        <f t="shared" si="18"/>
        <v/>
      </c>
      <c r="AE48" s="68"/>
    </row>
    <row r="49" spans="3:31">
      <c r="C49" s="36">
        <f>IF(C48=-1,-1,
      IF(C48&lt;income_max_row, C48+1,
         IF(C48=income_max_row, income_total_row,
            IF(C48=income_total_row, "/1",
                IF(C48="/1", expenses_header_row,
                    IF(C48&lt;expenses_max_row, C48+1,
                        IF(C48=expenses_max_row, expenses_total_row,
                            IF(C48=expenses_total_row, "/2",
                                IF(C48="/2", savings_header_row,
                                    IF(C48&lt;savings_max_row, C48+1,
                                        IF(C48=savings_max_row, savings_total_row, -1)))))))))))</f>
        <v>-1</v>
      </c>
      <c r="D49" s="37">
        <f t="shared" si="0"/>
        <v>-1</v>
      </c>
      <c r="E49" s="36" t="b">
        <v>1</v>
      </c>
      <c r="F49">
        <f t="shared" si="1"/>
        <v>0</v>
      </c>
      <c r="G49">
        <f>1*OR(row_id=income_total_row, row_id=expenses_total_row, row_id=savings_total_row)</f>
        <v>0</v>
      </c>
      <c r="H49" s="37">
        <f t="shared" si="2"/>
        <v>1</v>
      </c>
      <c r="I49" s="36" t="str">
        <f>IFERROR(INDEX('Planejamento Orçamentário'!$C:$C, header_row_id),"")</f>
        <v/>
      </c>
      <c r="J49" t="str">
        <f>IFERROR(INDEX('Planejamento Orçamentário'!$C:$C, row_id),"")</f>
        <v/>
      </c>
      <c r="K49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49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49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49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49" s="36" t="str">
        <f t="shared" si="3"/>
        <v/>
      </c>
      <c r="P49" t="str">
        <f t="shared" ca="1" si="4"/>
        <v/>
      </c>
      <c r="Q49" t="str">
        <f t="shared" si="5"/>
        <v/>
      </c>
      <c r="R49" s="37" t="str">
        <f t="shared" ca="1" si="6"/>
        <v/>
      </c>
      <c r="S49" s="36" t="str">
        <f t="shared" si="7"/>
        <v/>
      </c>
      <c r="T49" t="str">
        <f t="shared" si="8"/>
        <v/>
      </c>
      <c r="U49" t="str">
        <f t="shared" ca="1" si="9"/>
        <v/>
      </c>
      <c r="V49" t="str">
        <f t="shared" si="10"/>
        <v/>
      </c>
      <c r="W49" s="37" t="str">
        <f t="shared" ca="1" si="11"/>
        <v/>
      </c>
      <c r="X49" s="65">
        <f t="shared" si="12"/>
        <v>-1</v>
      </c>
      <c r="Y49" s="66" t="str">
        <f t="shared" si="13"/>
        <v/>
      </c>
      <c r="Z49" s="69" t="str">
        <f t="shared" si="14"/>
        <v/>
      </c>
      <c r="AA49" s="69" t="str">
        <f t="shared" si="15"/>
        <v/>
      </c>
      <c r="AB49" s="67" t="str">
        <f t="shared" si="16"/>
        <v/>
      </c>
      <c r="AC49" s="69" t="str">
        <f t="shared" si="17"/>
        <v/>
      </c>
      <c r="AD49" s="69" t="str">
        <f t="shared" si="18"/>
        <v/>
      </c>
      <c r="AE49" s="68"/>
    </row>
    <row r="50" spans="3:31">
      <c r="C50" s="36">
        <f>IF(C49=-1,-1,
      IF(C49&lt;income_max_row, C49+1,
         IF(C49=income_max_row, income_total_row,
            IF(C49=income_total_row, "/1",
                IF(C49="/1", expenses_header_row,
                    IF(C49&lt;expenses_max_row, C49+1,
                        IF(C49=expenses_max_row, expenses_total_row,
                            IF(C49=expenses_total_row, "/2",
                                IF(C49="/2", savings_header_row,
                                    IF(C49&lt;savings_max_row, C49+1,
                                        IF(C49=savings_max_row, savings_total_row, -1)))))))))))</f>
        <v>-1</v>
      </c>
      <c r="D50" s="37">
        <f t="shared" si="0"/>
        <v>-1</v>
      </c>
      <c r="E50" s="36" t="b">
        <v>1</v>
      </c>
      <c r="F50">
        <f t="shared" si="1"/>
        <v>0</v>
      </c>
      <c r="G50">
        <f>1*OR(row_id=income_total_row, row_id=expenses_total_row, row_id=savings_total_row)</f>
        <v>0</v>
      </c>
      <c r="H50" s="37">
        <f t="shared" si="2"/>
        <v>1</v>
      </c>
      <c r="I50" s="36" t="str">
        <f>IFERROR(INDEX('Planejamento Orçamentário'!$C:$C, header_row_id),"")</f>
        <v/>
      </c>
      <c r="J50" t="str">
        <f>IFERROR(INDEX('Planejamento Orçamentário'!$C:$C, row_id),"")</f>
        <v/>
      </c>
      <c r="K50" s="62" t="str">
        <f>IF(OR(is_header,is_empty),"",
      IF(is_total,
          IF(selected_period="Ano Total",
             SUMIFS( Tracking[Montante], Tracking[Tipo],type, Tracking[Data Efetiva],"&gt;="&amp;DATE(selected_year,1,1),Tracking[Data Efetiva],"&lt;="&amp;DATE(selected_year,12,31)),
             SUMIFS( Tracking[Montante], Tracking[Tipo],type, Tracking[Data Efetiva],"&gt;="&amp;DATE(selected_year,selected_period,1),Tracking[Data Efetiva],"&lt;="&amp;DATE(selected_year,selected_period,DAY(EOMONTH(DATE(selected_year,selected_period,1),0))))),
          IF(selected_period="Ano Total",
             SUMIFS( Tracking[Montante], Tracking[Tipo],type, Tracking[Categoria],item,Tracking[Data Efetiva],"&gt;="&amp;DATE(selected_year,1,1),Tracking[Data Efetiva],"&lt;="&amp;DATE(selected_year,12,31)),
             SUMIFS( Tracking[Montante], Tracking[Tipo],type, Tracking[Categoria],item,Tracking[Data Efetiva],"&gt;="&amp;DATE(selected_year,selected_period,1),Tracking[Data Efetiva],"&lt;="&amp;DATE(selected_year,selected_period,DAY(EOMONTH(DATE(selected_year,selected_period,1),0)))))
        )
  )</f>
        <v/>
      </c>
      <c r="L50" s="63" t="str">
        <f>IF(OR(is_header, is_empty), "",
      INDEX('Planejamento Orçamentário'!$E:$EM, row_id,
                   MATCH(IF(selected_period="Ano Total", selected_year, DATE(selected_year, selected_period, 1)), 'Planejamento Orçamentário'!$E$9:$EM$9, 0) ))</f>
        <v/>
      </c>
      <c r="M50" s="36" t="str">
        <f>IF(is_cat,
      IF(header_row_id=income_header_row, MATCH(income_min_row, $C:$C, 0),
          IF(header_row_id=expenses_header_row, MATCH(expenses_min_row, $C:$C, 0),
             IF(header_row_id=savings_header_row, MATCH(savings_min_row, $C:$C, 0),""))),"")</f>
        <v/>
      </c>
      <c r="N50" s="37" t="str">
        <f>IF(is_cat,
      IF(header_row_id=income_header_row, MATCH(income_max_row, $C:$C, 0),
          IF(header_row_id=expenses_header_row, MATCH(expenses_max_row, $C:$C, 0),
             IF(header_row_id=savings_header_row, MATCH(savings_max_row, $C:$C, 0),""))),"")</f>
        <v/>
      </c>
      <c r="O50" s="36" t="str">
        <f t="shared" si="3"/>
        <v/>
      </c>
      <c r="P50" t="str">
        <f t="shared" ca="1" si="4"/>
        <v/>
      </c>
      <c r="Q50" t="str">
        <f t="shared" si="5"/>
        <v/>
      </c>
      <c r="R50" s="37" t="str">
        <f t="shared" ca="1" si="6"/>
        <v/>
      </c>
      <c r="S50" s="36" t="str">
        <f t="shared" si="7"/>
        <v/>
      </c>
      <c r="T50" t="str">
        <f t="shared" si="8"/>
        <v/>
      </c>
      <c r="U50" t="str">
        <f t="shared" ca="1" si="9"/>
        <v/>
      </c>
      <c r="V50" t="str">
        <f t="shared" si="10"/>
        <v/>
      </c>
      <c r="W50" s="37" t="str">
        <f t="shared" ca="1" si="11"/>
        <v/>
      </c>
      <c r="X50" s="65">
        <f t="shared" si="12"/>
        <v>-1</v>
      </c>
      <c r="Y50" s="66" t="str">
        <f t="shared" si="13"/>
        <v/>
      </c>
      <c r="Z50" s="69" t="str">
        <f t="shared" si="14"/>
        <v/>
      </c>
      <c r="AA50" s="69" t="str">
        <f t="shared" si="15"/>
        <v/>
      </c>
      <c r="AB50" s="67" t="str">
        <f t="shared" si="16"/>
        <v/>
      </c>
      <c r="AC50" s="69" t="str">
        <f t="shared" si="17"/>
        <v/>
      </c>
      <c r="AD50" s="69" t="str">
        <f t="shared" si="18"/>
        <v/>
      </c>
      <c r="AE50" s="68"/>
    </row>
    <row r="51" spans="3:31">
      <c r="E51" t="b">
        <v>1</v>
      </c>
    </row>
    <row r="52" spans="3:31">
      <c r="E52" t="b">
        <v>1</v>
      </c>
    </row>
  </sheetData>
  <mergeCells count="6">
    <mergeCell ref="Y11:AD11"/>
    <mergeCell ref="AF11:AR11"/>
    <mergeCell ref="AQ5:AR5"/>
    <mergeCell ref="AQ8:AR8"/>
    <mergeCell ref="AQ6:AR6"/>
    <mergeCell ref="AQ9:AR9"/>
  </mergeCells>
  <conditionalFormatting sqref="Y13:AD50">
    <cfRule type="expression" dxfId="31" priority="19" stopIfTrue="1">
      <formula>row_id=income_header_row</formula>
    </cfRule>
    <cfRule type="expression" dxfId="30" priority="20" stopIfTrue="1">
      <formula>row_id=expenses_header_row</formula>
    </cfRule>
    <cfRule type="expression" dxfId="29" priority="21" stopIfTrue="1">
      <formula>row_id=savings_header_row</formula>
    </cfRule>
    <cfRule type="expression" dxfId="28" priority="22" stopIfTrue="1">
      <formula>is_total</formula>
    </cfRule>
  </conditionalFormatting>
  <conditionalFormatting sqref="AB13:AB50">
    <cfRule type="expression" dxfId="27" priority="23" stopIfTrue="1">
      <formula>AND(OR(is_cat, is_total), out_budget &gt; 0, out_percentage_completed &gt;= 1, header_row_id=income_header_row)</formula>
    </cfRule>
    <cfRule type="expression" dxfId="26" priority="24" stopIfTrue="1">
      <formula>AND(OR(is_cat, is_total), out_budget &gt; 0, out_percentage_completed &gt;= 1, header_row_id=expenses_header_row)</formula>
    </cfRule>
    <cfRule type="expression" dxfId="25" priority="25" stopIfTrue="1">
      <formula>AND(OR(is_cat, is_total), out_budget &gt; 0, out_percentage_completed &gt;= 1, header_row_id=savings_header_row)</formula>
    </cfRule>
    <cfRule type="dataBar" priority="26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{E21C8635-EE7B-4D7F-A898-4EDE51E4E413}</x14:id>
        </ext>
      </extLst>
    </cfRule>
  </conditionalFormatting>
  <conditionalFormatting sqref="AH16">
    <cfRule type="expression" dxfId="24" priority="13">
      <formula>AI16&lt;&gt;""</formula>
    </cfRule>
  </conditionalFormatting>
  <conditionalFormatting sqref="AH17">
    <cfRule type="expression" dxfId="23" priority="14">
      <formula>AI17&lt;&gt;""</formula>
    </cfRule>
  </conditionalFormatting>
  <conditionalFormatting sqref="AH18">
    <cfRule type="expression" dxfId="22" priority="15">
      <formula>AI18&lt;&gt;""</formula>
    </cfRule>
  </conditionalFormatting>
  <conditionalFormatting sqref="AH19">
    <cfRule type="expression" dxfId="21" priority="16">
      <formula>AI19&lt;&gt;""</formula>
    </cfRule>
  </conditionalFormatting>
  <conditionalFormatting sqref="AH20">
    <cfRule type="expression" dxfId="20" priority="17">
      <formula>AI20&lt;&gt;""</formula>
    </cfRule>
  </conditionalFormatting>
  <conditionalFormatting sqref="AH21">
    <cfRule type="expression" dxfId="19" priority="18">
      <formula>AI21&lt;&gt;""</formula>
    </cfRule>
  </conditionalFormatting>
  <conditionalFormatting sqref="AH29">
    <cfRule type="expression" dxfId="18" priority="7">
      <formula>AI29&lt;&gt;""</formula>
    </cfRule>
  </conditionalFormatting>
  <conditionalFormatting sqref="AH30">
    <cfRule type="expression" dxfId="17" priority="8">
      <formula>AI30&lt;&gt;""</formula>
    </cfRule>
  </conditionalFormatting>
  <conditionalFormatting sqref="AH31">
    <cfRule type="expression" dxfId="16" priority="9">
      <formula>AI31&lt;&gt;""</formula>
    </cfRule>
  </conditionalFormatting>
  <conditionalFormatting sqref="AH32">
    <cfRule type="expression" dxfId="15" priority="10">
      <formula>AI32&lt;&gt;""</formula>
    </cfRule>
  </conditionalFormatting>
  <conditionalFormatting sqref="AH33">
    <cfRule type="expression" dxfId="14" priority="11">
      <formula>AI33&lt;&gt;""</formula>
    </cfRule>
  </conditionalFormatting>
  <conditionalFormatting sqref="AH34">
    <cfRule type="expression" dxfId="13" priority="12">
      <formula>AI34&lt;&gt;""</formula>
    </cfRule>
  </conditionalFormatting>
  <conditionalFormatting sqref="AO29">
    <cfRule type="expression" dxfId="12" priority="1">
      <formula>AP29&lt;&gt;""</formula>
    </cfRule>
  </conditionalFormatting>
  <conditionalFormatting sqref="AO30">
    <cfRule type="expression" dxfId="11" priority="2">
      <formula>AP30&lt;&gt;""</formula>
    </cfRule>
  </conditionalFormatting>
  <conditionalFormatting sqref="AO31">
    <cfRule type="expression" dxfId="10" priority="3">
      <formula>AP31&lt;&gt;""</formula>
    </cfRule>
  </conditionalFormatting>
  <conditionalFormatting sqref="AO32">
    <cfRule type="expression" dxfId="9" priority="4">
      <formula>AP32&lt;&gt;""</formula>
    </cfRule>
  </conditionalFormatting>
  <conditionalFormatting sqref="AO33">
    <cfRule type="expression" dxfId="8" priority="5">
      <formula>AP33&lt;&gt;""</formula>
    </cfRule>
  </conditionalFormatting>
  <conditionalFormatting sqref="AO34">
    <cfRule type="expression" dxfId="7" priority="6">
      <formula>AP34&lt;&gt;""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Check Box 9">
              <controlPr defaultSize="0" autoFill="0" autoLine="0" autoPict="0">
                <anchor moveWithCells="1">
                  <from>
                    <xdr:col>42</xdr:col>
                    <xdr:colOff>209550</xdr:colOff>
                    <xdr:row>12</xdr:row>
                    <xdr:rowOff>104775</xdr:rowOff>
                  </from>
                  <to>
                    <xdr:col>43</xdr:col>
                    <xdr:colOff>219075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Check Box 10">
              <controlPr defaultSize="0" autoFill="0" autoLine="0" autoPict="0">
                <anchor moveWithCells="1">
                  <from>
                    <xdr:col>42</xdr:col>
                    <xdr:colOff>209550</xdr:colOff>
                    <xdr:row>13</xdr:row>
                    <xdr:rowOff>152400</xdr:rowOff>
                  </from>
                  <to>
                    <xdr:col>43</xdr:col>
                    <xdr:colOff>219075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Check Box 11">
              <controlPr defaultSize="0" autoFill="0" autoLine="0" autoPict="0">
                <anchor moveWithCells="1">
                  <from>
                    <xdr:col>41</xdr:col>
                    <xdr:colOff>723900</xdr:colOff>
                    <xdr:row>13</xdr:row>
                    <xdr:rowOff>152400</xdr:rowOff>
                  </from>
                  <to>
                    <xdr:col>42</xdr:col>
                    <xdr:colOff>123825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Check Box 12">
              <controlPr defaultSize="0" autoFill="0" autoLine="0" autoPict="0">
                <anchor moveWithCells="1">
                  <from>
                    <xdr:col>41</xdr:col>
                    <xdr:colOff>723900</xdr:colOff>
                    <xdr:row>12</xdr:row>
                    <xdr:rowOff>104775</xdr:rowOff>
                  </from>
                  <to>
                    <xdr:col>42</xdr:col>
                    <xdr:colOff>123825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1C8635-EE7B-4D7F-A898-4EDE51E4E4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AB13:AB50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6A31B9-D7D4-4266-BFD6-7A0AEB8EFD10}">
          <x14:formula1>
            <xm:f>Dados!$C$8:$C$18</xm:f>
          </x14:formula1>
          <xm:sqref>AQ6:AR6</xm:sqref>
        </x14:dataValidation>
        <x14:dataValidation type="list" allowBlank="1" showInputMessage="1" showErrorMessage="1" xr:uid="{A6595846-81D2-4E96-A2D9-FD573B453221}">
          <x14:formula1>
            <xm:f>Dados!$E$8:$E$21</xm:f>
          </x14:formula1>
          <xm:sqref>AQ9:AR9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C65BE-5B30-4C93-8D7C-B1A98DA76531}">
  <sheetPr codeName="Sheet1">
    <tabColor rgb="FF0070C0"/>
  </sheetPr>
  <dimension ref="C1:R102"/>
  <sheetViews>
    <sheetView showGridLines="0" workbookViewId="0">
      <pane ySplit="3" topLeftCell="A4" activePane="bottomLeft" state="frozen"/>
      <selection pane="bottomLeft" activeCell="I19" sqref="I19"/>
    </sheetView>
  </sheetViews>
  <sheetFormatPr defaultRowHeight="15"/>
  <cols>
    <col min="3" max="3" width="2.85546875" customWidth="1"/>
    <col min="4" max="4" width="57" bestFit="1" customWidth="1"/>
    <col min="5" max="5" width="39.5703125" bestFit="1" customWidth="1"/>
    <col min="6" max="6" width="15.85546875" customWidth="1"/>
    <col min="7" max="7" width="12.140625" customWidth="1"/>
    <col min="8" max="8" width="31.85546875" customWidth="1"/>
    <col min="9" max="9" width="40" customWidth="1"/>
    <col min="10" max="10" width="24.28515625" customWidth="1"/>
    <col min="11" max="11" width="17" customWidth="1"/>
    <col min="12" max="12" width="31.85546875" customWidth="1"/>
    <col min="13" max="13" width="32.28515625" customWidth="1"/>
    <col min="14" max="14" width="17.140625" customWidth="1"/>
    <col min="15" max="15" width="15.140625" customWidth="1"/>
    <col min="16" max="16" width="32.28515625" customWidth="1"/>
    <col min="17" max="17" width="17.140625" customWidth="1"/>
    <col min="18" max="18" width="15.140625" customWidth="1"/>
  </cols>
  <sheetData>
    <row r="1" spans="3:6" s="55" customFormat="1"/>
    <row r="2" spans="3:6" s="55" customFormat="1" ht="29.25">
      <c r="C2" s="56" t="s">
        <v>4</v>
      </c>
    </row>
    <row r="3" spans="3:6" s="55" customFormat="1"/>
    <row r="6" spans="3:6">
      <c r="C6" s="127" t="s">
        <v>48</v>
      </c>
      <c r="D6" s="127"/>
      <c r="E6" s="127"/>
      <c r="F6" s="127"/>
    </row>
    <row r="8" spans="3:6" ht="16.5">
      <c r="D8" s="9" t="s">
        <v>49</v>
      </c>
      <c r="E8" s="43">
        <f ca="1">current_date</f>
        <v>45152</v>
      </c>
    </row>
    <row r="9" spans="3:6" ht="16.5">
      <c r="D9" s="9" t="s">
        <v>50</v>
      </c>
      <c r="E9" s="43">
        <f>MAX(Tracking[Data])</f>
        <v>44635</v>
      </c>
    </row>
    <row r="10" spans="3:6" ht="16.5">
      <c r="D10" s="9" t="s">
        <v>51</v>
      </c>
      <c r="E10" s="4" t="str">
        <f ca="1">IF(E9=0,"","("&amp;_xlfn.DAYS(E8,E9)&amp;" dias atrás)")</f>
        <v>(517 dias atrás)</v>
      </c>
      <c r="F10" s="4"/>
    </row>
    <row r="11" spans="3:6" ht="16.5">
      <c r="D11" s="9" t="s">
        <v>52</v>
      </c>
      <c r="E11" s="4">
        <f>COUNT(Tracking[Data])</f>
        <v>59</v>
      </c>
      <c r="F11" s="4"/>
    </row>
    <row r="12" spans="3:6" ht="16.5">
      <c r="D12" s="9" t="s">
        <v>53</v>
      </c>
      <c r="E12" s="4" t="str">
        <f ca="1">"(" &amp; SUMPRODUCT(--(YEAR(Tracking[Data])=YEAR(current_date))) &amp; " neste ano)"</f>
        <v>(0 neste ano)</v>
      </c>
      <c r="F12" s="4"/>
    </row>
    <row r="13" spans="3:6" ht="16.5">
      <c r="D13" s="9" t="s">
        <v>54</v>
      </c>
      <c r="E13" s="59">
        <f>_xlfn.IFNA(INDEX(Tracking[Saldo], MATCH(Cálculos!E9, Tracking[Data],0)), "-")</f>
        <v>2620</v>
      </c>
      <c r="F13" s="4"/>
    </row>
    <row r="14" spans="3:6" ht="16.5">
      <c r="D14" s="9" t="s">
        <v>55</v>
      </c>
      <c r="E14" s="4" t="str">
        <f>IF(E13&gt;=0, "de entrada rastreada para ser alocada", "alocado não coberto por entrada")</f>
        <v>de entrada rastreada para ser alocada</v>
      </c>
      <c r="F14" s="4"/>
    </row>
    <row r="17" spans="3:14">
      <c r="C17" s="127" t="s">
        <v>65</v>
      </c>
      <c r="D17" s="127"/>
      <c r="E17" s="127"/>
      <c r="F17" s="127"/>
    </row>
    <row r="19" spans="3:14" ht="16.5">
      <c r="D19" s="9" t="s">
        <v>66</v>
      </c>
      <c r="E19" s="4">
        <f>IF(Dashboard!$AQ$6="Ano Corrente",YEAR(current_date), Dashboard!$AQ$6)</f>
        <v>2022</v>
      </c>
    </row>
    <row r="20" spans="3:14" ht="16.5">
      <c r="D20" s="51" t="s">
        <v>67</v>
      </c>
      <c r="E20" s="61" t="str">
        <f>IF(Dashboard!$AQ$9="Ano Total", "Ano Total",
      IF(Dashboard!$AQ$9="Mês Corrente", MONTH(current_date),
      MONTH(Dashboard!$AQ$9)))</f>
        <v>Ano Total</v>
      </c>
    </row>
    <row r="21" spans="3:14" ht="16.5">
      <c r="D21" s="9" t="s">
        <v>68</v>
      </c>
      <c r="E21" s="60" t="str">
        <f>IF(selected_period="Ano Total", "Ano Total",
      TEXT(DATE(selected_year, selected_period, 1), "mmmm"))</f>
        <v>Ano Total</v>
      </c>
    </row>
    <row r="22" spans="3:14" ht="16.5">
      <c r="D22" s="9" t="s">
        <v>110</v>
      </c>
      <c r="E22" s="4">
        <f>IF(selected_period="Ano Total", DATE(selected_year, 12, 31) - DATE(selected_year-1, 12, 31), DAY(EOMONTH(DATE(selected_year, selected_period, 1), 0)))</f>
        <v>365</v>
      </c>
    </row>
    <row r="23" spans="3:14" ht="16.5">
      <c r="D23" s="9" t="s">
        <v>111</v>
      </c>
      <c r="E23" s="4">
        <f ca="1">IF(selected_year=YEAR(current_date),
     IF(selected_period="Ano Total", current_date-DATE(selected_year-1, 12, 31),
        IF(selected_period=MONTH(current_date), DAY(current_date),
           IF(selected_period&lt;MONTH(current_date), E22, 0))),
     IF(selected_year&lt;YEAR(current_date), E22, 0))</f>
        <v>365</v>
      </c>
    </row>
    <row r="24" spans="3:14" ht="16.5">
      <c r="D24" s="9" t="s">
        <v>112</v>
      </c>
      <c r="E24" s="101">
        <f ca="1">E23/E22</f>
        <v>1</v>
      </c>
    </row>
    <row r="25" spans="3:14" ht="16.5">
      <c r="D25" s="9" t="s">
        <v>113</v>
      </c>
      <c r="E25" s="102">
        <f ca="1">F41-(J41+N41)</f>
        <v>2620</v>
      </c>
    </row>
    <row r="26" spans="3:14" ht="16.5">
      <c r="D26" s="9" t="s">
        <v>55</v>
      </c>
      <c r="E26" s="4" t="str">
        <f ca="1">IF(E25&gt;=0, "de entrada rastreada para ser alocada", "alocado não coberto por entrada")</f>
        <v>de entrada rastreada para ser alocada</v>
      </c>
    </row>
    <row r="27" spans="3:14" ht="16.5">
      <c r="D27" s="9" t="s">
        <v>114</v>
      </c>
      <c r="E27" s="103">
        <f ca="1">IFERROR(IF(savings_rate_calculation_type="% alocado para Investimento", N41/F41, (F41-J41)/F41), "-")</f>
        <v>0.22720588235294117</v>
      </c>
    </row>
    <row r="32" spans="3:14" ht="16.5">
      <c r="D32" s="80" t="s">
        <v>91</v>
      </c>
      <c r="E32" s="79"/>
      <c r="F32" s="79"/>
      <c r="G32" s="79"/>
      <c r="H32" s="79"/>
      <c r="I32" s="79"/>
      <c r="J32" s="79"/>
      <c r="K32" s="79"/>
      <c r="L32" s="79"/>
      <c r="M32" s="79"/>
      <c r="N32" s="79"/>
    </row>
    <row r="34" spans="4:14" ht="16.5">
      <c r="D34" s="81" t="s">
        <v>11</v>
      </c>
      <c r="E34" s="81" t="s">
        <v>35</v>
      </c>
      <c r="F34" s="81" t="s">
        <v>36</v>
      </c>
      <c r="H34" s="81" t="s">
        <v>38</v>
      </c>
      <c r="I34" s="81" t="s">
        <v>35</v>
      </c>
      <c r="J34" s="81" t="s">
        <v>36</v>
      </c>
      <c r="L34" s="81" t="s">
        <v>39</v>
      </c>
      <c r="M34" s="81" t="s">
        <v>35</v>
      </c>
      <c r="N34" s="81" t="s">
        <v>36</v>
      </c>
    </row>
    <row r="35" spans="4:14" ht="16.5">
      <c r="D35" s="83">
        <v>1</v>
      </c>
      <c r="E35" s="83" t="str">
        <f ca="1">IF(F35="", "", INDEX(Dashboard!$J:$J, MATCH(income_header_row + Cálculos!D35, Dashboard!$X:$X, 0)))</f>
        <v>Trabalho</v>
      </c>
      <c r="F35" s="85">
        <f ca="1">IF(D35&gt;COUNTA(Entrada[]), "",
     IF(INDEX(Dashboard!$K:$K, MATCH(income_header_row + Cálculos!D35, Dashboard!$X:$X, 0))=0, "",
         INDEX(Dashboard!$K:$K, MATCH(income_header_row + Cálculos!D35, Dashboard!$X:$X, 0))))</f>
        <v>10500</v>
      </c>
      <c r="H35" s="83">
        <v>1</v>
      </c>
      <c r="I35" s="83" t="str">
        <f ca="1">IF(J35="", "", INDEX(Dashboard!$J:$J, MATCH(expenses_header_row + Cálculos!H35, Dashboard!$X:$X, 0)))</f>
        <v>Aluguel</v>
      </c>
      <c r="J35" s="85">
        <f ca="1">IF(H35&gt;COUNTA(Saída[]), "",
     IF(INDEX(Dashboard!$K:$K, MATCH(expenses_header_row + Cálculos!H35, Dashboard!$X:$X, 0))=0, "",
         INDEX(Dashboard!$K:$K, MATCH(expenses_header_row + Cálculos!H35, Dashboard!$X:$X, 0))))</f>
        <v>2400</v>
      </c>
      <c r="L35" s="83">
        <v>1</v>
      </c>
      <c r="M35" s="83" t="str">
        <f ca="1">IF(N35="", "", INDEX(Dashboard!$J:$J, MATCH(savings_header_row + Cálculos!L35, Dashboard!$X:$X, 0)))</f>
        <v>Previdência Privada</v>
      </c>
      <c r="N35" s="85">
        <f ca="1">IF(L35&gt;COUNTA(Investimento[]), "",
     IF(INDEX(Dashboard!$K:$K, MATCH(savings_header_row + Cálculos!L35, Dashboard!$X:$X, 0))=0, "",
         INDEX(Dashboard!$K:$K, MATCH(savings_header_row + Cálculos!L35, Dashboard!$X:$X, 0))))</f>
        <v>1250</v>
      </c>
    </row>
    <row r="36" spans="4:14" ht="16.5">
      <c r="D36" s="83">
        <v>2</v>
      </c>
      <c r="E36" s="83" t="str">
        <f ca="1">IF(F36="", "", INDEX(Dashboard!$J:$J, MATCH(income_header_row + Cálculos!D36, Dashboard!$X:$X, 0)))</f>
        <v>Freelance</v>
      </c>
      <c r="F36" s="85">
        <f ca="1">IF(D36&gt;COUNTA(Entrada[]), "",
     IF(INDEX(Dashboard!$K:$K, MATCH(income_header_row + Cálculos!D36, Dashboard!$X:$X, 0))=0, "",
         INDEX(Dashboard!$K:$K, MATCH(income_header_row + Cálculos!D36, Dashboard!$X:$X, 0))))</f>
        <v>2800</v>
      </c>
      <c r="H36" s="83">
        <v>2</v>
      </c>
      <c r="I36" s="83" t="str">
        <f ca="1">IF(J36="", "", INDEX(Dashboard!$J:$J, MATCH(expenses_header_row + Cálculos!H36, Dashboard!$X:$X, 0)))</f>
        <v>Energia Elétrica</v>
      </c>
      <c r="J36" s="85">
        <f ca="1">IF(H36&gt;COUNTA(Saída[]), "",
     IF(INDEX(Dashboard!$K:$K, MATCH(expenses_header_row + Cálculos!H36, Dashboard!$X:$X, 0))=0, "",
         INDEX(Dashboard!$K:$K, MATCH(expenses_header_row + Cálculos!H36, Dashboard!$X:$X, 0))))</f>
        <v>1800</v>
      </c>
      <c r="L36" s="83">
        <v>2</v>
      </c>
      <c r="M36" s="83" t="str">
        <f ca="1">IF(N36="", "", INDEX(Dashboard!$J:$J, MATCH(savings_header_row + Cálculos!L36, Dashboard!$X:$X, 0)))</f>
        <v>Ações</v>
      </c>
      <c r="N36" s="85">
        <f ca="1">IF(L36&gt;COUNTA(Investimento[]), "",
     IF(INDEX(Dashboard!$K:$K, MATCH(savings_header_row + Cálculos!L36, Dashboard!$X:$X, 0))=0, "",
         INDEX(Dashboard!$K:$K, MATCH(savings_header_row + Cálculos!L36, Dashboard!$X:$X, 0))))</f>
        <v>900</v>
      </c>
    </row>
    <row r="37" spans="4:14" ht="16.5">
      <c r="D37" s="83">
        <v>3</v>
      </c>
      <c r="E37" s="83" t="str">
        <f ca="1">IF(F37="", "", INDEX(Dashboard!$J:$J, MATCH(income_header_row + Cálculos!D37, Dashboard!$X:$X, 0)))</f>
        <v>Dividendos</v>
      </c>
      <c r="F37" s="85">
        <f ca="1">IF(D37&gt;COUNTA(Entrada[]), "",
     IF(INDEX(Dashboard!$K:$K, MATCH(income_header_row + Cálculos!D37, Dashboard!$X:$X, 0))=0, "",
         INDEX(Dashboard!$K:$K, MATCH(income_header_row + Cálculos!D37, Dashboard!$X:$X, 0))))</f>
        <v>300</v>
      </c>
      <c r="H37" s="83">
        <v>3</v>
      </c>
      <c r="I37" s="83" t="str">
        <f ca="1">IF(J37="", "", INDEX(Dashboard!$J:$J, MATCH(expenses_header_row + Cálculos!H37, Dashboard!$X:$X, 0)))</f>
        <v>Diversão &amp; Férias</v>
      </c>
      <c r="J37" s="85">
        <f ca="1">IF(H37&gt;COUNTA(Saída[]), "",
     IF(INDEX(Dashboard!$K:$K, MATCH(expenses_header_row + Cálculos!H37, Dashboard!$X:$X, 0))=0, "",
         INDEX(Dashboard!$K:$K, MATCH(expenses_header_row + Cálculos!H37, Dashboard!$X:$X, 0))))</f>
        <v>740</v>
      </c>
      <c r="L37" s="83">
        <v>3</v>
      </c>
      <c r="M37" s="83" t="str">
        <f ca="1">IF(N37="", "", INDEX(Dashboard!$J:$J, MATCH(savings_header_row + Cálculos!L37, Dashboard!$X:$X, 0)))</f>
        <v>Tesouro Direto</v>
      </c>
      <c r="N37" s="85">
        <f ca="1">IF(L37&gt;COUNTA(Investimento[]), "",
     IF(INDEX(Dashboard!$K:$K, MATCH(savings_header_row + Cálculos!L37, Dashboard!$X:$X, 0))=0, "",
         INDEX(Dashboard!$K:$K, MATCH(savings_header_row + Cálculos!L37, Dashboard!$X:$X, 0))))</f>
        <v>400</v>
      </c>
    </row>
    <row r="38" spans="4:14" ht="16.5">
      <c r="D38" s="83">
        <v>4</v>
      </c>
      <c r="E38" s="83" t="str">
        <f>IF(F38="", "", INDEX(Dashboard!$J:$J, MATCH(income_header_row + Cálculos!D38, Dashboard!$X:$X, 0)))</f>
        <v/>
      </c>
      <c r="F38" s="85" t="str">
        <f>IF(D38&gt;COUNTA(Entrada[]), "",
     IF(INDEX(Dashboard!$K:$K, MATCH(income_header_row + Cálculos!D38, Dashboard!$X:$X, 0))=0, "",
         INDEX(Dashboard!$K:$K, MATCH(income_header_row + Cálculos!D38, Dashboard!$X:$X, 0))))</f>
        <v/>
      </c>
      <c r="H38" s="83">
        <v>4</v>
      </c>
      <c r="I38" s="83" t="str">
        <f ca="1">IF(J38="", "", INDEX(Dashboard!$J:$J, MATCH(expenses_header_row + Cálculos!H38, Dashboard!$X:$X, 0)))</f>
        <v>Transporte</v>
      </c>
      <c r="J38" s="85">
        <f ca="1">IF(H38&gt;COUNTA(Saída[]), "",
     IF(INDEX(Dashboard!$K:$K, MATCH(expenses_header_row + Cálculos!H38, Dashboard!$X:$X, 0))=0, "",
         INDEX(Dashboard!$K:$K, MATCH(expenses_header_row + Cálculos!H38, Dashboard!$X:$X, 0))))</f>
        <v>660</v>
      </c>
      <c r="L38" s="83">
        <v>4</v>
      </c>
      <c r="M38" s="83" t="str">
        <f ca="1">IF(N38="", "", INDEX(Dashboard!$J:$J, MATCH(savings_header_row + Cálculos!L38, Dashboard!$X:$X, 0)))</f>
        <v>LCI</v>
      </c>
      <c r="N38" s="85">
        <f ca="1">IF(L38&gt;COUNTA(Investimento[]), "",
     IF(INDEX(Dashboard!$K:$K, MATCH(savings_header_row + Cálculos!L38, Dashboard!$X:$X, 0))=0, "",
         INDEX(Dashboard!$K:$K, MATCH(savings_header_row + Cálculos!L38, Dashboard!$X:$X, 0))))</f>
        <v>400</v>
      </c>
    </row>
    <row r="39" spans="4:14" ht="16.5">
      <c r="D39" s="83">
        <v>5</v>
      </c>
      <c r="E39" s="83" t="str">
        <f>IF(F39="", "", INDEX(Dashboard!$J:$J, MATCH(income_header_row + Cálculos!D39, Dashboard!$X:$X, 0)))</f>
        <v/>
      </c>
      <c r="F39" s="85" t="str">
        <f>IF(D39&gt;COUNTA(Entrada[]), "",
     IF(INDEX(Dashboard!$K:$K, MATCH(income_header_row + Cálculos!D39, Dashboard!$X:$X, 0))=0, "",
         INDEX(Dashboard!$K:$K, MATCH(income_header_row + Cálculos!D39, Dashboard!$X:$X, 0))))</f>
        <v/>
      </c>
      <c r="H39" s="83">
        <v>5</v>
      </c>
      <c r="I39" s="83" t="str">
        <f ca="1">IF(J39="", "", INDEX(Dashboard!$J:$J, MATCH(expenses_header_row + Cálculos!H39, Dashboard!$X:$X, 0)))</f>
        <v>Seguros</v>
      </c>
      <c r="J39" s="85">
        <f ca="1">IF(H39&gt;COUNTA(Saída[]), "",
     IF(INDEX(Dashboard!$K:$K, MATCH(expenses_header_row + Cálculos!H39, Dashboard!$X:$X, 0))=0, "",
         INDEX(Dashboard!$K:$K, MATCH(expenses_header_row + Cálculos!H39, Dashboard!$X:$X, 0))))</f>
        <v>660</v>
      </c>
      <c r="L39" s="83">
        <v>5</v>
      </c>
      <c r="M39" s="83" t="str">
        <f ca="1">IF(N39="", "", INDEX(Dashboard!$J:$J, MATCH(savings_header_row + Cálculos!L39, Dashboard!$X:$X, 0)))</f>
        <v>Reserva de Emergência</v>
      </c>
      <c r="N39" s="85">
        <f ca="1">IF(L39&gt;COUNTA(Investimento[]), "",
     IF(INDEX(Dashboard!$K:$K, MATCH(savings_header_row + Cálculos!L39, Dashboard!$X:$X, 0))=0, "",
         INDEX(Dashboard!$K:$K, MATCH(savings_header_row + Cálculos!L39, Dashboard!$X:$X, 0))))</f>
        <v>140</v>
      </c>
    </row>
    <row r="40" spans="4:14" ht="17.25" thickBot="1">
      <c r="D40" s="84">
        <v>6</v>
      </c>
      <c r="E40" s="84" t="str">
        <f ca="1">IF(F40="", "", "Outro")</f>
        <v/>
      </c>
      <c r="F40" s="86" t="str">
        <f ca="1">IF(F41-SUM(F35:F39)=0, "", F41-SUM(F35:F39))</f>
        <v/>
      </c>
      <c r="H40" s="84">
        <v>6</v>
      </c>
      <c r="I40" s="84" t="str">
        <f ca="1">IF(J40="", "", "Outro")</f>
        <v>Outro</v>
      </c>
      <c r="J40" s="86">
        <f ca="1">IF(J41-SUM(J35:J39)=0, "", J41-SUM(J35:J39))</f>
        <v>1630</v>
      </c>
      <c r="L40" s="84">
        <v>6</v>
      </c>
      <c r="M40" s="84" t="str">
        <f ca="1">IF(N40="", "", "Outro")</f>
        <v/>
      </c>
      <c r="N40" s="86" t="str">
        <f ca="1">IF(N41-SUM(N35:N39)=0, "", N41-SUM(N35:N39))</f>
        <v/>
      </c>
    </row>
    <row r="41" spans="4:14" ht="17.25" thickTop="1">
      <c r="D41" s="68"/>
      <c r="E41" s="82" t="s">
        <v>12</v>
      </c>
      <c r="F41" s="87">
        <f ca="1">INDEX(Dashboard!$K:$K, MATCH(income_total_row, Dashboard!$X:$X, 0))</f>
        <v>13600</v>
      </c>
      <c r="H41" s="68"/>
      <c r="I41" s="82" t="s">
        <v>12</v>
      </c>
      <c r="J41" s="87">
        <f ca="1">INDEX(Dashboard!$K:$K, MATCH(expenses_total_row, Dashboard!$X:$X, 0))</f>
        <v>7890</v>
      </c>
      <c r="L41" s="68"/>
      <c r="M41" s="82" t="s">
        <v>12</v>
      </c>
      <c r="N41" s="87">
        <f ca="1">INDEX(Dashboard!$K:$K, MATCH(savings_total_row, Dashboard!$X:$X, 0))</f>
        <v>3090</v>
      </c>
    </row>
    <row r="47" spans="4:14" ht="16.5">
      <c r="D47" s="80" t="s">
        <v>93</v>
      </c>
      <c r="E47" s="79"/>
      <c r="F47" s="79"/>
      <c r="G47" s="79"/>
      <c r="H47" s="79"/>
      <c r="I47" s="79"/>
      <c r="J47" s="79"/>
      <c r="K47" s="79"/>
      <c r="L47" s="79"/>
      <c r="M47" s="79"/>
      <c r="N47" s="79"/>
    </row>
    <row r="49" spans="4:18">
      <c r="D49" s="97" t="s">
        <v>106</v>
      </c>
      <c r="E49" s="98" t="b">
        <v>1</v>
      </c>
    </row>
    <row r="50" spans="4:18">
      <c r="D50" s="97" t="s">
        <v>107</v>
      </c>
      <c r="E50" s="98" t="b">
        <v>1</v>
      </c>
    </row>
    <row r="51" spans="4:18">
      <c r="D51" s="97" t="s">
        <v>108</v>
      </c>
      <c r="E51" s="98" t="b">
        <v>1</v>
      </c>
    </row>
    <row r="52" spans="4:18">
      <c r="D52" s="97" t="s">
        <v>109</v>
      </c>
      <c r="E52" s="98" t="b">
        <v>1</v>
      </c>
    </row>
    <row r="53" spans="4:18">
      <c r="M53" s="128" t="s">
        <v>99</v>
      </c>
      <c r="N53" s="128"/>
      <c r="O53" s="128"/>
      <c r="P53" s="129" t="s">
        <v>103</v>
      </c>
      <c r="Q53" s="129"/>
      <c r="R53" s="129"/>
    </row>
    <row r="54" spans="4:18" s="92" customFormat="1" ht="16.5">
      <c r="D54" s="81" t="s">
        <v>92</v>
      </c>
      <c r="E54" s="81" t="s">
        <v>34</v>
      </c>
      <c r="F54" s="81" t="s">
        <v>105</v>
      </c>
      <c r="G54" s="81" t="s">
        <v>94</v>
      </c>
      <c r="H54" s="81" t="s">
        <v>95</v>
      </c>
      <c r="I54" s="81" t="s">
        <v>96</v>
      </c>
      <c r="J54" s="81" t="s">
        <v>97</v>
      </c>
      <c r="K54" s="81" t="s">
        <v>104</v>
      </c>
      <c r="L54" s="81" t="s">
        <v>98</v>
      </c>
      <c r="M54" s="81" t="s">
        <v>100</v>
      </c>
      <c r="N54" s="81" t="s">
        <v>101</v>
      </c>
      <c r="O54" s="81" t="s">
        <v>102</v>
      </c>
      <c r="P54" s="81" t="s">
        <v>100</v>
      </c>
      <c r="Q54" s="81" t="s">
        <v>101</v>
      </c>
      <c r="R54" s="81" t="s">
        <v>102</v>
      </c>
    </row>
    <row r="55" spans="4:18" ht="16.5">
      <c r="D55" s="125">
        <f>DATE(selected_year, 1, 1)</f>
        <v>44562</v>
      </c>
      <c r="E55" s="83" t="s">
        <v>11</v>
      </c>
      <c r="F55" s="83">
        <f>MONTH(D55)</f>
        <v>1</v>
      </c>
      <c r="G55" s="83">
        <f>IF(selected_period="Ano Total",1,IF(selected_period=cc_month_number,1,0))</f>
        <v>1</v>
      </c>
      <c r="H55" s="83">
        <f>1*$E$49</f>
        <v>1</v>
      </c>
      <c r="I55" s="83">
        <f>1*$E$52</f>
        <v>1</v>
      </c>
      <c r="J55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4850</v>
      </c>
      <c r="K55" s="99">
        <f ca="1">INDEX('Planejamento Orçamentário'!$E:$EM, income_total_row, MATCH(DATE(selected_year, cc_month_number, 1), 'Planejamento Orçamentário'!$E$9:$EM$9, 0))</f>
        <v>4650</v>
      </c>
      <c r="L55" s="99">
        <f ca="1">cc_budget-cc_tracked</f>
        <v>-200</v>
      </c>
      <c r="M55" s="59">
        <f ca="1">cc_in_focus * cc_show_type * MIN(cc_tracked, cc_budget)</f>
        <v>4650</v>
      </c>
      <c r="N55" s="59">
        <f ca="1">cc_in_focus * cc_show_type * cc_show_remaining_budget * IF(cc_delta&gt;0, cc_delta, 0)</f>
        <v>0</v>
      </c>
      <c r="O55" s="96">
        <f ca="1">cc_in_focus * cc_show_type * IF(cc_delta&lt;0, ABS(cc_delta), 0)</f>
        <v>200</v>
      </c>
      <c r="P55" s="59">
        <f ca="1">NOT(cc_in_focus) * cc_show_type * MIN(cc_tracked, cc_budget)</f>
        <v>0</v>
      </c>
      <c r="Q55" s="59">
        <f ca="1">NOT(cc_in_focus) * cc_show_type * cc_show_remaining_budget * IF(cc_delta&gt;0, cc_delta, 0)</f>
        <v>0</v>
      </c>
      <c r="R55" s="96">
        <f ca="1">NOT(cc_in_focus) * cc_show_type * IF(cc_delta&lt;0, ABS(cc_delta), 0)</f>
        <v>0</v>
      </c>
    </row>
    <row r="56" spans="4:18" ht="16.5">
      <c r="D56" s="125"/>
      <c r="E56" s="83" t="s">
        <v>38</v>
      </c>
      <c r="F56" s="83">
        <f>MONTH(D55)</f>
        <v>1</v>
      </c>
      <c r="G56" s="83">
        <f>IF(selected_period="Ano Total",1,IF(selected_period=cc_month_number,1,0))</f>
        <v>1</v>
      </c>
      <c r="H56" s="83">
        <f>1*$E$50</f>
        <v>1</v>
      </c>
      <c r="I56" s="83">
        <f t="shared" ref="I56:I57" si="0">1*$E$52</f>
        <v>1</v>
      </c>
      <c r="J56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2800</v>
      </c>
      <c r="K56" s="99">
        <f ca="1">INDEX('Planejamento Orçamentário'!$E:$EM, expenses_total_row, MATCH(DATE(selected_year, cc_month_number, 1), 'Planejamento Orçamentário'!$E$9:$EM$9, 0))</f>
        <v>2900</v>
      </c>
      <c r="L56" s="99">
        <f ca="1">cc_budget-cc_tracked</f>
        <v>100</v>
      </c>
      <c r="M56" s="59">
        <f ca="1">cc_in_focus * cc_show_type * MIN(cc_tracked, cc_budget)</f>
        <v>2800</v>
      </c>
      <c r="N56" s="59">
        <f ca="1">cc_in_focus * cc_show_type * cc_show_remaining_budget * IF(cc_delta&gt;0, cc_delta, 0)</f>
        <v>100</v>
      </c>
      <c r="O56" s="96">
        <f ca="1">cc_in_focus * cc_show_type * IF(cc_delta&lt;0, ABS(cc_delta), 0)</f>
        <v>0</v>
      </c>
      <c r="P56" s="59">
        <f ca="1">NOT(cc_in_focus) * cc_show_type * MIN(cc_tracked, cc_budget)</f>
        <v>0</v>
      </c>
      <c r="Q56" s="59">
        <f ca="1">NOT(cc_in_focus) * cc_show_type * cc_show_remaining_budget * IF(cc_delta&gt;0, cc_delta, 0)</f>
        <v>0</v>
      </c>
      <c r="R56" s="96">
        <f ca="1">NOT(cc_in_focus) * cc_show_type * IF(cc_delta&lt;0, ABS(cc_delta), 0)</f>
        <v>0</v>
      </c>
    </row>
    <row r="57" spans="4:18" ht="16.5">
      <c r="D57" s="125"/>
      <c r="E57" s="83" t="s">
        <v>39</v>
      </c>
      <c r="F57" s="83">
        <f>MONTH(D55)</f>
        <v>1</v>
      </c>
      <c r="G57" s="83">
        <f>IF(selected_period="Ano Total",1,IF(selected_period=cc_month_number,1,0))</f>
        <v>1</v>
      </c>
      <c r="H57" s="83">
        <f>1*$E$51</f>
        <v>1</v>
      </c>
      <c r="I57" s="83">
        <f t="shared" si="0"/>
        <v>1</v>
      </c>
      <c r="J57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2050</v>
      </c>
      <c r="K57" s="99">
        <f ca="1">INDEX('Planejamento Orçamentário'!$E:$EM, savings_total_row, MATCH(DATE(selected_year, cc_month_number, 1), 'Planejamento Orçamentário'!$E$9:$EM$9, 0))</f>
        <v>1750</v>
      </c>
      <c r="L57" s="99">
        <f ca="1">cc_budget-cc_tracked</f>
        <v>-300</v>
      </c>
      <c r="M57" s="59">
        <f ca="1">cc_in_focus * cc_show_type * MIN(cc_tracked, cc_budget)</f>
        <v>1750</v>
      </c>
      <c r="N57" s="59">
        <f ca="1">cc_in_focus * cc_show_type * cc_show_remaining_budget * IF(cc_delta&gt;0, cc_delta, 0)</f>
        <v>0</v>
      </c>
      <c r="O57" s="96">
        <f ca="1">cc_in_focus * cc_show_type * IF(cc_delta&lt;0, ABS(cc_delta), 0)</f>
        <v>300</v>
      </c>
      <c r="P57" s="59">
        <f ca="1">NOT(cc_in_focus) * cc_show_type * MIN(cc_tracked, cc_budget)</f>
        <v>0</v>
      </c>
      <c r="Q57" s="59">
        <f ca="1">NOT(cc_in_focus) * cc_show_type * cc_show_remaining_budget * IF(cc_delta&gt;0, cc_delta, 0)</f>
        <v>0</v>
      </c>
      <c r="R57" s="96">
        <f ca="1">NOT(cc_in_focus) * cc_show_type * IF(cc_delta&lt;0, ABS(cc_delta), 0)</f>
        <v>0</v>
      </c>
    </row>
    <row r="58" spans="4:18" ht="16.5">
      <c r="D58" s="126"/>
      <c r="E58" s="95"/>
      <c r="F58" s="95"/>
      <c r="G58" s="95"/>
      <c r="H58" s="95"/>
      <c r="I58" s="95"/>
      <c r="J58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58" s="100"/>
      <c r="L58" s="100"/>
      <c r="M58" s="95"/>
      <c r="N58" s="95"/>
      <c r="O58" s="95"/>
      <c r="P58" s="95"/>
      <c r="Q58" s="95"/>
      <c r="R58" s="95"/>
    </row>
    <row r="59" spans="4:18" ht="16.5">
      <c r="D59" s="124">
        <f>DATE(selected_year, 2, 1)</f>
        <v>44593</v>
      </c>
      <c r="E59" s="94" t="s">
        <v>11</v>
      </c>
      <c r="F59" s="83">
        <f t="shared" ref="F59" si="1">MONTH(D59)</f>
        <v>2</v>
      </c>
      <c r="G59" s="83">
        <f>IF(selected_period="Ano Total",1,IF(selected_period=cc_month_number,1,0))</f>
        <v>1</v>
      </c>
      <c r="H59" s="83">
        <f t="shared" ref="H59" si="2">1*$E$49</f>
        <v>1</v>
      </c>
      <c r="I59" s="83">
        <f t="shared" ref="I59:I101" si="3">1*$E$52</f>
        <v>1</v>
      </c>
      <c r="J59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4050</v>
      </c>
      <c r="K59" s="99">
        <f ca="1">INDEX('Planejamento Orçamentário'!$E:$EM, income_total_row, MATCH(DATE(selected_year, cc_month_number, 1), 'Planejamento Orçamentário'!$E$9:$EM$9, 0))</f>
        <v>4550</v>
      </c>
      <c r="L59" s="99">
        <f ca="1">cc_budget-cc_tracked</f>
        <v>500</v>
      </c>
      <c r="M59" s="59">
        <f ca="1">cc_in_focus * cc_show_type * MIN(cc_tracked, cc_budget)</f>
        <v>4050</v>
      </c>
      <c r="N59" s="59">
        <f ca="1">cc_in_focus * cc_show_type * cc_show_remaining_budget * IF(cc_delta&gt;0, cc_delta, 0)</f>
        <v>500</v>
      </c>
      <c r="O59" s="96">
        <f ca="1">cc_in_focus * cc_show_type * IF(cc_delta&lt;0, ABS(cc_delta), 0)</f>
        <v>0</v>
      </c>
      <c r="P59" s="59">
        <f ca="1">NOT(cc_in_focus) * cc_show_type * MIN(cc_tracked, cc_budget)</f>
        <v>0</v>
      </c>
      <c r="Q59" s="59">
        <f ca="1">NOT(cc_in_focus) * cc_show_type * cc_show_remaining_budget * IF(cc_delta&gt;0, cc_delta, 0)</f>
        <v>0</v>
      </c>
      <c r="R59" s="96">
        <f ca="1">NOT(cc_in_focus) * cc_show_type * IF(cc_delta&lt;0, ABS(cc_delta), 0)</f>
        <v>0</v>
      </c>
    </row>
    <row r="60" spans="4:18" ht="16.5">
      <c r="D60" s="125"/>
      <c r="E60" s="83" t="s">
        <v>38</v>
      </c>
      <c r="F60" s="83">
        <f t="shared" ref="F60" si="4">MONTH(D59)</f>
        <v>2</v>
      </c>
      <c r="G60" s="83">
        <f>IF(selected_period="Ano Total",1,IF(selected_period=cc_month_number,1,0))</f>
        <v>1</v>
      </c>
      <c r="H60" s="83">
        <f t="shared" ref="H60" si="5">1*$E$50</f>
        <v>1</v>
      </c>
      <c r="I60" s="83">
        <f t="shared" si="3"/>
        <v>1</v>
      </c>
      <c r="J60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3010</v>
      </c>
      <c r="K60" s="99">
        <f ca="1">INDEX('Planejamento Orçamentário'!$E:$EM, expenses_total_row, MATCH(DATE(selected_year, cc_month_number, 1), 'Planejamento Orçamentário'!$E$9:$EM$9, 0))</f>
        <v>2900</v>
      </c>
      <c r="L60" s="99">
        <f ca="1">cc_budget-cc_tracked</f>
        <v>-110</v>
      </c>
      <c r="M60" s="59">
        <f ca="1">cc_in_focus * cc_show_type * MIN(cc_tracked, cc_budget)</f>
        <v>2900</v>
      </c>
      <c r="N60" s="59">
        <f ca="1">cc_in_focus * cc_show_type * cc_show_remaining_budget * IF(cc_delta&gt;0, cc_delta, 0)</f>
        <v>0</v>
      </c>
      <c r="O60" s="96">
        <f ca="1">cc_in_focus * cc_show_type * IF(cc_delta&lt;0, ABS(cc_delta), 0)</f>
        <v>110</v>
      </c>
      <c r="P60" s="59">
        <f ca="1">NOT(cc_in_focus) * cc_show_type * MIN(cc_tracked, cc_budget)</f>
        <v>0</v>
      </c>
      <c r="Q60" s="59">
        <f ca="1">NOT(cc_in_focus) * cc_show_type * cc_show_remaining_budget * IF(cc_delta&gt;0, cc_delta, 0)</f>
        <v>0</v>
      </c>
      <c r="R60" s="96">
        <f ca="1">NOT(cc_in_focus) * cc_show_type * IF(cc_delta&lt;0, ABS(cc_delta), 0)</f>
        <v>0</v>
      </c>
    </row>
    <row r="61" spans="4:18" ht="16.5">
      <c r="D61" s="125"/>
      <c r="E61" s="83" t="s">
        <v>39</v>
      </c>
      <c r="F61" s="83">
        <f t="shared" ref="F61" si="6">MONTH(D59)</f>
        <v>2</v>
      </c>
      <c r="G61" s="83">
        <f>IF(selected_period="Ano Total",1,IF(selected_period=cc_month_number,1,0))</f>
        <v>1</v>
      </c>
      <c r="H61" s="83">
        <f t="shared" ref="H61" si="7">1*$E$51</f>
        <v>1</v>
      </c>
      <c r="I61" s="83">
        <f t="shared" si="3"/>
        <v>1</v>
      </c>
      <c r="J61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1040</v>
      </c>
      <c r="K61" s="99">
        <f ca="1">INDEX('Planejamento Orçamentário'!$E:$EM, savings_total_row, MATCH(DATE(selected_year, cc_month_number, 1), 'Planejamento Orçamentário'!$E$9:$EM$9, 0))</f>
        <v>1650</v>
      </c>
      <c r="L61" s="99">
        <f ca="1">cc_budget-cc_tracked</f>
        <v>610</v>
      </c>
      <c r="M61" s="59">
        <f ca="1">cc_in_focus * cc_show_type * MIN(cc_tracked, cc_budget)</f>
        <v>1040</v>
      </c>
      <c r="N61" s="59">
        <f ca="1">cc_in_focus * cc_show_type * cc_show_remaining_budget * IF(cc_delta&gt;0, cc_delta, 0)</f>
        <v>610</v>
      </c>
      <c r="O61" s="96">
        <f ca="1">cc_in_focus * cc_show_type * IF(cc_delta&lt;0, ABS(cc_delta), 0)</f>
        <v>0</v>
      </c>
      <c r="P61" s="59">
        <f ca="1">NOT(cc_in_focus) * cc_show_type * MIN(cc_tracked, cc_budget)</f>
        <v>0</v>
      </c>
      <c r="Q61" s="59">
        <f ca="1">NOT(cc_in_focus) * cc_show_type * cc_show_remaining_budget * IF(cc_delta&gt;0, cc_delta, 0)</f>
        <v>0</v>
      </c>
      <c r="R61" s="96">
        <f ca="1">NOT(cc_in_focus) * cc_show_type * IF(cc_delta&lt;0, ABS(cc_delta), 0)</f>
        <v>0</v>
      </c>
    </row>
    <row r="62" spans="4:18" ht="16.5">
      <c r="D62" s="126"/>
      <c r="E62" s="95"/>
      <c r="F62" s="95"/>
      <c r="G62" s="95"/>
      <c r="H62" s="95"/>
      <c r="I62" s="95"/>
      <c r="J62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2" s="100"/>
      <c r="L62" s="100"/>
      <c r="M62" s="95"/>
      <c r="N62" s="95"/>
      <c r="O62" s="95"/>
      <c r="P62" s="95"/>
      <c r="Q62" s="95"/>
      <c r="R62" s="95"/>
    </row>
    <row r="63" spans="4:18" ht="16.5">
      <c r="D63" s="124">
        <f>DATE(selected_year, 3, 1)</f>
        <v>44621</v>
      </c>
      <c r="E63" s="94" t="s">
        <v>11</v>
      </c>
      <c r="F63" s="83">
        <f t="shared" ref="F63" si="8">MONTH(D63)</f>
        <v>3</v>
      </c>
      <c r="G63" s="83">
        <f>IF(selected_period="Ano Total",1,IF(selected_period=cc_month_number,1,0))</f>
        <v>1</v>
      </c>
      <c r="H63" s="83">
        <f t="shared" ref="H63" si="9">1*$E$49</f>
        <v>1</v>
      </c>
      <c r="I63" s="83">
        <f t="shared" ref="I63" si="10">1*$E$52</f>
        <v>1</v>
      </c>
      <c r="J63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4700</v>
      </c>
      <c r="K63" s="99">
        <f ca="1">INDEX('Planejamento Orçamentário'!$E:$EM, income_total_row, MATCH(DATE(selected_year, cc_month_number, 1), 'Planejamento Orçamentário'!$E$9:$EM$9, 0))</f>
        <v>4600</v>
      </c>
      <c r="L63" s="99">
        <f ca="1">cc_budget-cc_tracked</f>
        <v>-100</v>
      </c>
      <c r="M63" s="59">
        <f ca="1">cc_in_focus * cc_show_type * MIN(cc_tracked, cc_budget)</f>
        <v>4600</v>
      </c>
      <c r="N63" s="59">
        <f ca="1">cc_in_focus * cc_show_type * cc_show_remaining_budget * IF(cc_delta&gt;0, cc_delta, 0)</f>
        <v>0</v>
      </c>
      <c r="O63" s="96">
        <f ca="1">cc_in_focus * cc_show_type * IF(cc_delta&lt;0, ABS(cc_delta), 0)</f>
        <v>100</v>
      </c>
      <c r="P63" s="59">
        <f ca="1">NOT(cc_in_focus) * cc_show_type * MIN(cc_tracked, cc_budget)</f>
        <v>0</v>
      </c>
      <c r="Q63" s="59">
        <f ca="1">NOT(cc_in_focus) * cc_show_type * cc_show_remaining_budget * IF(cc_delta&gt;0, cc_delta, 0)</f>
        <v>0</v>
      </c>
      <c r="R63" s="96">
        <f ca="1">NOT(cc_in_focus) * cc_show_type * IF(cc_delta&lt;0, ABS(cc_delta), 0)</f>
        <v>0</v>
      </c>
    </row>
    <row r="64" spans="4:18" ht="16.5">
      <c r="D64" s="125"/>
      <c r="E64" s="83" t="s">
        <v>38</v>
      </c>
      <c r="F64" s="83">
        <f t="shared" ref="F64" si="11">MONTH(D63)</f>
        <v>3</v>
      </c>
      <c r="G64" s="83">
        <f>IF(selected_period="Ano Total",1,IF(selected_period=cc_month_number,1,0))</f>
        <v>1</v>
      </c>
      <c r="H64" s="83">
        <f t="shared" ref="H64" si="12">1*$E$50</f>
        <v>1</v>
      </c>
      <c r="I64" s="83">
        <f t="shared" si="3"/>
        <v>1</v>
      </c>
      <c r="J64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2080</v>
      </c>
      <c r="K64" s="99">
        <f ca="1">INDEX('Planejamento Orçamentário'!$E:$EM, expenses_total_row, MATCH(DATE(selected_year, cc_month_number, 1), 'Planejamento Orçamentário'!$E$9:$EM$9, 0))</f>
        <v>3050</v>
      </c>
      <c r="L64" s="99">
        <f ca="1">cc_budget-cc_tracked</f>
        <v>970</v>
      </c>
      <c r="M64" s="59">
        <f ca="1">cc_in_focus * cc_show_type * MIN(cc_tracked, cc_budget)</f>
        <v>2080</v>
      </c>
      <c r="N64" s="59">
        <f ca="1">cc_in_focus * cc_show_type * cc_show_remaining_budget * IF(cc_delta&gt;0, cc_delta, 0)</f>
        <v>970</v>
      </c>
      <c r="O64" s="96">
        <f ca="1">cc_in_focus * cc_show_type * IF(cc_delta&lt;0, ABS(cc_delta), 0)</f>
        <v>0</v>
      </c>
      <c r="P64" s="59">
        <f ca="1">NOT(cc_in_focus) * cc_show_type * MIN(cc_tracked, cc_budget)</f>
        <v>0</v>
      </c>
      <c r="Q64" s="59">
        <f ca="1">NOT(cc_in_focus) * cc_show_type * cc_show_remaining_budget * IF(cc_delta&gt;0, cc_delta, 0)</f>
        <v>0</v>
      </c>
      <c r="R64" s="96">
        <f ca="1">NOT(cc_in_focus) * cc_show_type * IF(cc_delta&lt;0, ABS(cc_delta), 0)</f>
        <v>0</v>
      </c>
    </row>
    <row r="65" spans="4:18" ht="16.5">
      <c r="D65" s="125"/>
      <c r="E65" s="83" t="s">
        <v>39</v>
      </c>
      <c r="F65" s="83">
        <f t="shared" ref="F65" si="13">MONTH(D63)</f>
        <v>3</v>
      </c>
      <c r="G65" s="83">
        <f>IF(selected_period="Ano Total",1,IF(selected_period=cc_month_number,1,0))</f>
        <v>1</v>
      </c>
      <c r="H65" s="83">
        <f t="shared" ref="H65" si="14">1*$E$51</f>
        <v>1</v>
      </c>
      <c r="I65" s="83">
        <f t="shared" si="3"/>
        <v>1</v>
      </c>
      <c r="J65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5" s="99">
        <f ca="1">INDEX('Planejamento Orçamentário'!$E:$EM, savings_total_row, MATCH(DATE(selected_year, cc_month_number, 1), 'Planejamento Orçamentário'!$E$9:$EM$9, 0))</f>
        <v>1550</v>
      </c>
      <c r="L65" s="99">
        <f ca="1">cc_budget-cc_tracked</f>
        <v>1550</v>
      </c>
      <c r="M65" s="59">
        <f ca="1">cc_in_focus * cc_show_type * MIN(cc_tracked, cc_budget)</f>
        <v>0</v>
      </c>
      <c r="N65" s="59">
        <f ca="1">cc_in_focus * cc_show_type * cc_show_remaining_budget * IF(cc_delta&gt;0, cc_delta, 0)</f>
        <v>1550</v>
      </c>
      <c r="O65" s="96">
        <f ca="1">cc_in_focus * cc_show_type * IF(cc_delta&lt;0, ABS(cc_delta), 0)</f>
        <v>0</v>
      </c>
      <c r="P65" s="59">
        <f ca="1">NOT(cc_in_focus) * cc_show_type * MIN(cc_tracked, cc_budget)</f>
        <v>0</v>
      </c>
      <c r="Q65" s="59">
        <f ca="1">NOT(cc_in_focus) * cc_show_type * cc_show_remaining_budget * IF(cc_delta&gt;0, cc_delta, 0)</f>
        <v>0</v>
      </c>
      <c r="R65" s="96">
        <f ca="1">NOT(cc_in_focus) * cc_show_type * IF(cc_delta&lt;0, ABS(cc_delta), 0)</f>
        <v>0</v>
      </c>
    </row>
    <row r="66" spans="4:18" ht="16.5">
      <c r="D66" s="126"/>
      <c r="E66" s="95"/>
      <c r="F66" s="95"/>
      <c r="G66" s="95"/>
      <c r="H66" s="95"/>
      <c r="I66" s="95"/>
      <c r="J66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6" s="100"/>
      <c r="L66" s="100"/>
      <c r="M66" s="95"/>
      <c r="N66" s="95"/>
      <c r="O66" s="95"/>
      <c r="P66" s="95"/>
      <c r="Q66" s="95"/>
      <c r="R66" s="95"/>
    </row>
    <row r="67" spans="4:18" ht="16.5">
      <c r="D67" s="124">
        <f>DATE(selected_year, 4, 1)</f>
        <v>44652</v>
      </c>
      <c r="E67" s="94" t="s">
        <v>11</v>
      </c>
      <c r="F67" s="83">
        <f t="shared" ref="F67" si="15">MONTH(D67)</f>
        <v>4</v>
      </c>
      <c r="G67" s="83">
        <f>IF(selected_period="Ano Total",1,IF(selected_period=cc_month_number,1,0))</f>
        <v>1</v>
      </c>
      <c r="H67" s="83">
        <f t="shared" ref="H67" si="16">1*$E$49</f>
        <v>1</v>
      </c>
      <c r="I67" s="83">
        <f t="shared" ref="I67" si="17">1*$E$52</f>
        <v>1</v>
      </c>
      <c r="J67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7" s="99">
        <f ca="1">INDEX('Planejamento Orçamentário'!$E:$EM, income_total_row, MATCH(DATE(selected_year, cc_month_number, 1), 'Planejamento Orçamentário'!$E$9:$EM$9, 0))</f>
        <v>5650</v>
      </c>
      <c r="L67" s="99">
        <f ca="1">cc_budget-cc_tracked</f>
        <v>5650</v>
      </c>
      <c r="M67" s="59">
        <f ca="1">cc_in_focus * cc_show_type * MIN(cc_tracked, cc_budget)</f>
        <v>0</v>
      </c>
      <c r="N67" s="59">
        <f ca="1">cc_in_focus * cc_show_type * cc_show_remaining_budget * IF(cc_delta&gt;0, cc_delta, 0)</f>
        <v>5650</v>
      </c>
      <c r="O67" s="96">
        <f ca="1">cc_in_focus * cc_show_type * IF(cc_delta&lt;0, ABS(cc_delta), 0)</f>
        <v>0</v>
      </c>
      <c r="P67" s="59">
        <f ca="1">NOT(cc_in_focus) * cc_show_type * MIN(cc_tracked, cc_budget)</f>
        <v>0</v>
      </c>
      <c r="Q67" s="59">
        <f ca="1">NOT(cc_in_focus) * cc_show_type * cc_show_remaining_budget * IF(cc_delta&gt;0, cc_delta, 0)</f>
        <v>0</v>
      </c>
      <c r="R67" s="96">
        <f ca="1">NOT(cc_in_focus) * cc_show_type * IF(cc_delta&lt;0, ABS(cc_delta), 0)</f>
        <v>0</v>
      </c>
    </row>
    <row r="68" spans="4:18" ht="16.5">
      <c r="D68" s="125"/>
      <c r="E68" s="83" t="s">
        <v>38</v>
      </c>
      <c r="F68" s="83">
        <f t="shared" ref="F68" si="18">MONTH(D67)</f>
        <v>4</v>
      </c>
      <c r="G68" s="83">
        <f>IF(selected_period="Ano Total",1,IF(selected_period=cc_month_number,1,0))</f>
        <v>1</v>
      </c>
      <c r="H68" s="83">
        <f t="shared" ref="H68" si="19">1*$E$50</f>
        <v>1</v>
      </c>
      <c r="I68" s="83">
        <f t="shared" si="3"/>
        <v>1</v>
      </c>
      <c r="J68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8" s="99">
        <f ca="1">INDEX('Planejamento Orçamentário'!$E:$EM, expenses_total_row, MATCH(DATE(selected_year, cc_month_number, 1), 'Planejamento Orçamentário'!$E$9:$EM$9, 0))</f>
        <v>3800</v>
      </c>
      <c r="L68" s="99">
        <f ca="1">cc_budget-cc_tracked</f>
        <v>3800</v>
      </c>
      <c r="M68" s="59">
        <f ca="1">cc_in_focus * cc_show_type * MIN(cc_tracked, cc_budget)</f>
        <v>0</v>
      </c>
      <c r="N68" s="59">
        <f ca="1">cc_in_focus * cc_show_type * cc_show_remaining_budget * IF(cc_delta&gt;0, cc_delta, 0)</f>
        <v>3800</v>
      </c>
      <c r="O68" s="96">
        <f ca="1">cc_in_focus * cc_show_type * IF(cc_delta&lt;0, ABS(cc_delta), 0)</f>
        <v>0</v>
      </c>
      <c r="P68" s="59">
        <f ca="1">NOT(cc_in_focus) * cc_show_type * MIN(cc_tracked, cc_budget)</f>
        <v>0</v>
      </c>
      <c r="Q68" s="59">
        <f ca="1">NOT(cc_in_focus) * cc_show_type * cc_show_remaining_budget * IF(cc_delta&gt;0, cc_delta, 0)</f>
        <v>0</v>
      </c>
      <c r="R68" s="96">
        <f ca="1">NOT(cc_in_focus) * cc_show_type * IF(cc_delta&lt;0, ABS(cc_delta), 0)</f>
        <v>0</v>
      </c>
    </row>
    <row r="69" spans="4:18" ht="16.5">
      <c r="D69" s="125"/>
      <c r="E69" s="83" t="s">
        <v>39</v>
      </c>
      <c r="F69" s="83">
        <f t="shared" ref="F69" si="20">MONTH(D67)</f>
        <v>4</v>
      </c>
      <c r="G69" s="83">
        <f>IF(selected_period="Ano Total",1,IF(selected_period=cc_month_number,1,0))</f>
        <v>1</v>
      </c>
      <c r="H69" s="83">
        <f t="shared" ref="H69" si="21">1*$E$51</f>
        <v>1</v>
      </c>
      <c r="I69" s="83">
        <f t="shared" si="3"/>
        <v>1</v>
      </c>
      <c r="J69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69" s="99">
        <f ca="1">INDEX('Planejamento Orçamentário'!$E:$EM, savings_total_row, MATCH(DATE(selected_year, cc_month_number, 1), 'Planejamento Orçamentário'!$E$9:$EM$9, 0))</f>
        <v>1850</v>
      </c>
      <c r="L69" s="99">
        <f ca="1">cc_budget-cc_tracked</f>
        <v>1850</v>
      </c>
      <c r="M69" s="59">
        <f ca="1">cc_in_focus * cc_show_type * MIN(cc_tracked, cc_budget)</f>
        <v>0</v>
      </c>
      <c r="N69" s="59">
        <f ca="1">cc_in_focus * cc_show_type * cc_show_remaining_budget * IF(cc_delta&gt;0, cc_delta, 0)</f>
        <v>1850</v>
      </c>
      <c r="O69" s="96">
        <f ca="1">cc_in_focus * cc_show_type * IF(cc_delta&lt;0, ABS(cc_delta), 0)</f>
        <v>0</v>
      </c>
      <c r="P69" s="59">
        <f ca="1">NOT(cc_in_focus) * cc_show_type * MIN(cc_tracked, cc_budget)</f>
        <v>0</v>
      </c>
      <c r="Q69" s="59">
        <f ca="1">NOT(cc_in_focus) * cc_show_type * cc_show_remaining_budget * IF(cc_delta&gt;0, cc_delta, 0)</f>
        <v>0</v>
      </c>
      <c r="R69" s="96">
        <f ca="1">NOT(cc_in_focus) * cc_show_type * IF(cc_delta&lt;0, ABS(cc_delta), 0)</f>
        <v>0</v>
      </c>
    </row>
    <row r="70" spans="4:18" ht="16.5">
      <c r="D70" s="126"/>
      <c r="E70" s="95"/>
      <c r="F70" s="95"/>
      <c r="G70" s="95"/>
      <c r="H70" s="95"/>
      <c r="I70" s="95"/>
      <c r="J70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0" s="100"/>
      <c r="L70" s="100"/>
      <c r="M70" s="95"/>
      <c r="N70" s="95"/>
      <c r="O70" s="95"/>
      <c r="P70" s="95"/>
      <c r="Q70" s="95"/>
      <c r="R70" s="95"/>
    </row>
    <row r="71" spans="4:18" ht="16.5">
      <c r="D71" s="124">
        <f>DATE(selected_year, 5, 1)</f>
        <v>44682</v>
      </c>
      <c r="E71" s="94" t="s">
        <v>11</v>
      </c>
      <c r="F71" s="83">
        <f t="shared" ref="F71" si="22">MONTH(D71)</f>
        <v>5</v>
      </c>
      <c r="G71" s="83">
        <f>IF(selected_period="Ano Total",1,IF(selected_period=cc_month_number,1,0))</f>
        <v>1</v>
      </c>
      <c r="H71" s="83">
        <f t="shared" ref="H71" si="23">1*$E$49</f>
        <v>1</v>
      </c>
      <c r="I71" s="83">
        <f t="shared" ref="I71" si="24">1*$E$52</f>
        <v>1</v>
      </c>
      <c r="J71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1" s="99">
        <f ca="1">INDEX('Planejamento Orçamentário'!$E:$EM, income_total_row, MATCH(DATE(selected_year, cc_month_number, 1), 'Planejamento Orçamentário'!$E$9:$EM$9, 0))</f>
        <v>5550</v>
      </c>
      <c r="L71" s="99">
        <f ca="1">cc_budget-cc_tracked</f>
        <v>5550</v>
      </c>
      <c r="M71" s="59">
        <f ca="1">cc_in_focus * cc_show_type * MIN(cc_tracked, cc_budget)</f>
        <v>0</v>
      </c>
      <c r="N71" s="59">
        <f ca="1">cc_in_focus * cc_show_type * cc_show_remaining_budget * IF(cc_delta&gt;0, cc_delta, 0)</f>
        <v>5550</v>
      </c>
      <c r="O71" s="96">
        <f ca="1">cc_in_focus * cc_show_type * IF(cc_delta&lt;0, ABS(cc_delta), 0)</f>
        <v>0</v>
      </c>
      <c r="P71" s="59">
        <f ca="1">NOT(cc_in_focus) * cc_show_type * MIN(cc_tracked, cc_budget)</f>
        <v>0</v>
      </c>
      <c r="Q71" s="59">
        <f ca="1">NOT(cc_in_focus) * cc_show_type * cc_show_remaining_budget * IF(cc_delta&gt;0, cc_delta, 0)</f>
        <v>0</v>
      </c>
      <c r="R71" s="96">
        <f ca="1">NOT(cc_in_focus) * cc_show_type * IF(cc_delta&lt;0, ABS(cc_delta), 0)</f>
        <v>0</v>
      </c>
    </row>
    <row r="72" spans="4:18" ht="16.5">
      <c r="D72" s="125"/>
      <c r="E72" s="83" t="s">
        <v>38</v>
      </c>
      <c r="F72" s="83">
        <f t="shared" ref="F72" si="25">MONTH(D71)</f>
        <v>5</v>
      </c>
      <c r="G72" s="83">
        <f>IF(selected_period="Ano Total",1,IF(selected_period=cc_month_number,1,0))</f>
        <v>1</v>
      </c>
      <c r="H72" s="83">
        <f t="shared" ref="H72" si="26">1*$E$50</f>
        <v>1</v>
      </c>
      <c r="I72" s="83">
        <f t="shared" si="3"/>
        <v>1</v>
      </c>
      <c r="J72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2" s="99">
        <f ca="1">INDEX('Planejamento Orçamentário'!$E:$EM, expenses_total_row, MATCH(DATE(selected_year, cc_month_number, 1), 'Planejamento Orçamentário'!$E$9:$EM$9, 0))</f>
        <v>2900</v>
      </c>
      <c r="L72" s="99">
        <f ca="1">cc_budget-cc_tracked</f>
        <v>2900</v>
      </c>
      <c r="M72" s="59">
        <f ca="1">cc_in_focus * cc_show_type * MIN(cc_tracked, cc_budget)</f>
        <v>0</v>
      </c>
      <c r="N72" s="59">
        <f ca="1">cc_in_focus * cc_show_type * cc_show_remaining_budget * IF(cc_delta&gt;0, cc_delta, 0)</f>
        <v>2900</v>
      </c>
      <c r="O72" s="96">
        <f ca="1">cc_in_focus * cc_show_type * IF(cc_delta&lt;0, ABS(cc_delta), 0)</f>
        <v>0</v>
      </c>
      <c r="P72" s="59">
        <f ca="1">NOT(cc_in_focus) * cc_show_type * MIN(cc_tracked, cc_budget)</f>
        <v>0</v>
      </c>
      <c r="Q72" s="59">
        <f ca="1">NOT(cc_in_focus) * cc_show_type * cc_show_remaining_budget * IF(cc_delta&gt;0, cc_delta, 0)</f>
        <v>0</v>
      </c>
      <c r="R72" s="96">
        <f ca="1">NOT(cc_in_focus) * cc_show_type * IF(cc_delta&lt;0, ABS(cc_delta), 0)</f>
        <v>0</v>
      </c>
    </row>
    <row r="73" spans="4:18" ht="16.5">
      <c r="D73" s="125"/>
      <c r="E73" s="83" t="s">
        <v>39</v>
      </c>
      <c r="F73" s="83">
        <f t="shared" ref="F73" si="27">MONTH(D71)</f>
        <v>5</v>
      </c>
      <c r="G73" s="83">
        <f>IF(selected_period="Ano Total",1,IF(selected_period=cc_month_number,1,0))</f>
        <v>1</v>
      </c>
      <c r="H73" s="83">
        <f t="shared" ref="H73" si="28">1*$E$51</f>
        <v>1</v>
      </c>
      <c r="I73" s="83">
        <f t="shared" si="3"/>
        <v>1</v>
      </c>
      <c r="J73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3" s="99">
        <f ca="1">INDEX('Planejamento Orçamentário'!$E:$EM, savings_total_row, MATCH(DATE(selected_year, cc_month_number, 1), 'Planejamento Orçamentário'!$E$9:$EM$9, 0))</f>
        <v>2650</v>
      </c>
      <c r="L73" s="99">
        <f ca="1">cc_budget-cc_tracked</f>
        <v>2650</v>
      </c>
      <c r="M73" s="59">
        <f ca="1">cc_in_focus * cc_show_type * MIN(cc_tracked, cc_budget)</f>
        <v>0</v>
      </c>
      <c r="N73" s="59">
        <f ca="1">cc_in_focus * cc_show_type * cc_show_remaining_budget * IF(cc_delta&gt;0, cc_delta, 0)</f>
        <v>2650</v>
      </c>
      <c r="O73" s="96">
        <f ca="1">cc_in_focus * cc_show_type * IF(cc_delta&lt;0, ABS(cc_delta), 0)</f>
        <v>0</v>
      </c>
      <c r="P73" s="59">
        <f ca="1">NOT(cc_in_focus) * cc_show_type * MIN(cc_tracked, cc_budget)</f>
        <v>0</v>
      </c>
      <c r="Q73" s="59">
        <f ca="1">NOT(cc_in_focus) * cc_show_type * cc_show_remaining_budget * IF(cc_delta&gt;0, cc_delta, 0)</f>
        <v>0</v>
      </c>
      <c r="R73" s="96">
        <f ca="1">NOT(cc_in_focus) * cc_show_type * IF(cc_delta&lt;0, ABS(cc_delta), 0)</f>
        <v>0</v>
      </c>
    </row>
    <row r="74" spans="4:18" ht="16.5">
      <c r="D74" s="126"/>
      <c r="E74" s="95"/>
      <c r="F74" s="95"/>
      <c r="G74" s="95"/>
      <c r="H74" s="95"/>
      <c r="I74" s="95"/>
      <c r="J74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4" s="100"/>
      <c r="L74" s="100"/>
      <c r="M74" s="95"/>
      <c r="N74" s="95"/>
      <c r="O74" s="95"/>
      <c r="P74" s="95"/>
      <c r="Q74" s="95"/>
      <c r="R74" s="95"/>
    </row>
    <row r="75" spans="4:18" ht="16.5">
      <c r="D75" s="124">
        <f>DATE(selected_year, 6, 1)</f>
        <v>44713</v>
      </c>
      <c r="E75" s="94" t="s">
        <v>11</v>
      </c>
      <c r="F75" s="83">
        <f t="shared" ref="F75" si="29">MONTH(D75)</f>
        <v>6</v>
      </c>
      <c r="G75" s="83">
        <f>IF(selected_period="Ano Total",1,IF(selected_period=cc_month_number,1,0))</f>
        <v>1</v>
      </c>
      <c r="H75" s="83">
        <f t="shared" ref="H75" si="30">1*$E$49</f>
        <v>1</v>
      </c>
      <c r="I75" s="83">
        <f t="shared" ref="I75" si="31">1*$E$52</f>
        <v>1</v>
      </c>
      <c r="J75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5" s="99">
        <f ca="1">INDEX('Planejamento Orçamentário'!$E:$EM, income_total_row, MATCH(DATE(selected_year, cc_month_number, 1), 'Planejamento Orçamentário'!$E$9:$EM$9, 0))</f>
        <v>5600</v>
      </c>
      <c r="L75" s="99">
        <f ca="1">cc_budget-cc_tracked</f>
        <v>5600</v>
      </c>
      <c r="M75" s="59">
        <f ca="1">cc_in_focus * cc_show_type * MIN(cc_tracked, cc_budget)</f>
        <v>0</v>
      </c>
      <c r="N75" s="59">
        <f ca="1">cc_in_focus * cc_show_type * cc_show_remaining_budget * IF(cc_delta&gt;0, cc_delta, 0)</f>
        <v>5600</v>
      </c>
      <c r="O75" s="96">
        <f ca="1">cc_in_focus * cc_show_type * IF(cc_delta&lt;0, ABS(cc_delta), 0)</f>
        <v>0</v>
      </c>
      <c r="P75" s="59">
        <f ca="1">NOT(cc_in_focus) * cc_show_type * MIN(cc_tracked, cc_budget)</f>
        <v>0</v>
      </c>
      <c r="Q75" s="59">
        <f ca="1">NOT(cc_in_focus) * cc_show_type * cc_show_remaining_budget * IF(cc_delta&gt;0, cc_delta, 0)</f>
        <v>0</v>
      </c>
      <c r="R75" s="96">
        <f ca="1">NOT(cc_in_focus) * cc_show_type * IF(cc_delta&lt;0, ABS(cc_delta), 0)</f>
        <v>0</v>
      </c>
    </row>
    <row r="76" spans="4:18" ht="16.5">
      <c r="D76" s="125"/>
      <c r="E76" s="83" t="s">
        <v>38</v>
      </c>
      <c r="F76" s="83">
        <f t="shared" ref="F76" si="32">MONTH(D75)</f>
        <v>6</v>
      </c>
      <c r="G76" s="83">
        <f>IF(selected_period="Ano Total",1,IF(selected_period=cc_month_number,1,0))</f>
        <v>1</v>
      </c>
      <c r="H76" s="83">
        <f t="shared" ref="H76" si="33">1*$E$50</f>
        <v>1</v>
      </c>
      <c r="I76" s="83">
        <f t="shared" si="3"/>
        <v>1</v>
      </c>
      <c r="J76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6" s="99">
        <f ca="1">INDEX('Planejamento Orçamentário'!$E:$EM, expenses_total_row, MATCH(DATE(selected_year, cc_month_number, 1), 'Planejamento Orçamentário'!$E$9:$EM$9, 0))</f>
        <v>3050</v>
      </c>
      <c r="L76" s="99">
        <f ca="1">cc_budget-cc_tracked</f>
        <v>3050</v>
      </c>
      <c r="M76" s="59">
        <f ca="1">cc_in_focus * cc_show_type * MIN(cc_tracked, cc_budget)</f>
        <v>0</v>
      </c>
      <c r="N76" s="59">
        <f ca="1">cc_in_focus * cc_show_type * cc_show_remaining_budget * IF(cc_delta&gt;0, cc_delta, 0)</f>
        <v>3050</v>
      </c>
      <c r="O76" s="96">
        <f ca="1">cc_in_focus * cc_show_type * IF(cc_delta&lt;0, ABS(cc_delta), 0)</f>
        <v>0</v>
      </c>
      <c r="P76" s="59">
        <f ca="1">NOT(cc_in_focus) * cc_show_type * MIN(cc_tracked, cc_budget)</f>
        <v>0</v>
      </c>
      <c r="Q76" s="59">
        <f ca="1">NOT(cc_in_focus) * cc_show_type * cc_show_remaining_budget * IF(cc_delta&gt;0, cc_delta, 0)</f>
        <v>0</v>
      </c>
      <c r="R76" s="96">
        <f ca="1">NOT(cc_in_focus) * cc_show_type * IF(cc_delta&lt;0, ABS(cc_delta), 0)</f>
        <v>0</v>
      </c>
    </row>
    <row r="77" spans="4:18" ht="16.5">
      <c r="D77" s="125"/>
      <c r="E77" s="83" t="s">
        <v>39</v>
      </c>
      <c r="F77" s="83">
        <f t="shared" ref="F77" si="34">MONTH(D75)</f>
        <v>6</v>
      </c>
      <c r="G77" s="83">
        <f>IF(selected_period="Ano Total",1,IF(selected_period=cc_month_number,1,0))</f>
        <v>1</v>
      </c>
      <c r="H77" s="83">
        <f t="shared" ref="H77" si="35">1*$E$51</f>
        <v>1</v>
      </c>
      <c r="I77" s="83">
        <f t="shared" si="3"/>
        <v>1</v>
      </c>
      <c r="J77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7" s="99">
        <f ca="1">INDEX('Planejamento Orçamentário'!$E:$EM, savings_total_row, MATCH(DATE(selected_year, cc_month_number, 1), 'Planejamento Orçamentário'!$E$9:$EM$9, 0))</f>
        <v>2550</v>
      </c>
      <c r="L77" s="99">
        <f ca="1">cc_budget-cc_tracked</f>
        <v>2550</v>
      </c>
      <c r="M77" s="59">
        <f ca="1">cc_in_focus * cc_show_type * MIN(cc_tracked, cc_budget)</f>
        <v>0</v>
      </c>
      <c r="N77" s="59">
        <f ca="1">cc_in_focus * cc_show_type * cc_show_remaining_budget * IF(cc_delta&gt;0, cc_delta, 0)</f>
        <v>2550</v>
      </c>
      <c r="O77" s="96">
        <f ca="1">cc_in_focus * cc_show_type * IF(cc_delta&lt;0, ABS(cc_delta), 0)</f>
        <v>0</v>
      </c>
      <c r="P77" s="59">
        <f ca="1">NOT(cc_in_focus) * cc_show_type * MIN(cc_tracked, cc_budget)</f>
        <v>0</v>
      </c>
      <c r="Q77" s="59">
        <f ca="1">NOT(cc_in_focus) * cc_show_type * cc_show_remaining_budget * IF(cc_delta&gt;0, cc_delta, 0)</f>
        <v>0</v>
      </c>
      <c r="R77" s="96">
        <f ca="1">NOT(cc_in_focus) * cc_show_type * IF(cc_delta&lt;0, ABS(cc_delta), 0)</f>
        <v>0</v>
      </c>
    </row>
    <row r="78" spans="4:18" ht="16.5">
      <c r="D78" s="126"/>
      <c r="E78" s="95"/>
      <c r="F78" s="95"/>
      <c r="G78" s="95"/>
      <c r="H78" s="95"/>
      <c r="I78" s="95"/>
      <c r="J78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8" s="100"/>
      <c r="L78" s="100"/>
      <c r="M78" s="95"/>
      <c r="N78" s="95"/>
      <c r="O78" s="95"/>
      <c r="P78" s="95"/>
      <c r="Q78" s="95"/>
      <c r="R78" s="95"/>
    </row>
    <row r="79" spans="4:18" ht="16.5">
      <c r="D79" s="124">
        <f>DATE(selected_year, 7, 1)</f>
        <v>44743</v>
      </c>
      <c r="E79" s="94" t="s">
        <v>11</v>
      </c>
      <c r="F79" s="83">
        <f t="shared" ref="F79" si="36">MONTH(D79)</f>
        <v>7</v>
      </c>
      <c r="G79" s="83">
        <f>IF(selected_period="Ano Total",1,IF(selected_period=cc_month_number,1,0))</f>
        <v>1</v>
      </c>
      <c r="H79" s="83">
        <f t="shared" ref="H79" si="37">1*$E$49</f>
        <v>1</v>
      </c>
      <c r="I79" s="83">
        <f t="shared" ref="I79" si="38">1*$E$52</f>
        <v>1</v>
      </c>
      <c r="J79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79" s="99">
        <f ca="1">INDEX('Planejamento Orçamentário'!$E:$EM, income_total_row, MATCH(DATE(selected_year, cc_month_number, 1), 'Planejamento Orçamentário'!$E$9:$EM$9, 0))</f>
        <v>5650</v>
      </c>
      <c r="L79" s="99">
        <f ca="1">cc_budget-cc_tracked</f>
        <v>5650</v>
      </c>
      <c r="M79" s="59">
        <f ca="1">cc_in_focus * cc_show_type * MIN(cc_tracked, cc_budget)</f>
        <v>0</v>
      </c>
      <c r="N79" s="59">
        <f ca="1">cc_in_focus * cc_show_type * cc_show_remaining_budget * IF(cc_delta&gt;0, cc_delta, 0)</f>
        <v>5650</v>
      </c>
      <c r="O79" s="96">
        <f ca="1">cc_in_focus * cc_show_type * IF(cc_delta&lt;0, ABS(cc_delta), 0)</f>
        <v>0</v>
      </c>
      <c r="P79" s="59">
        <f ca="1">NOT(cc_in_focus) * cc_show_type * MIN(cc_tracked, cc_budget)</f>
        <v>0</v>
      </c>
      <c r="Q79" s="59">
        <f ca="1">NOT(cc_in_focus) * cc_show_type * cc_show_remaining_budget * IF(cc_delta&gt;0, cc_delta, 0)</f>
        <v>0</v>
      </c>
      <c r="R79" s="96">
        <f ca="1">NOT(cc_in_focus) * cc_show_type * IF(cc_delta&lt;0, ABS(cc_delta), 0)</f>
        <v>0</v>
      </c>
    </row>
    <row r="80" spans="4:18" ht="16.5">
      <c r="D80" s="125"/>
      <c r="E80" s="83" t="s">
        <v>38</v>
      </c>
      <c r="F80" s="83">
        <f t="shared" ref="F80" si="39">MONTH(D79)</f>
        <v>7</v>
      </c>
      <c r="G80" s="83">
        <f>IF(selected_period="Ano Total",1,IF(selected_period=cc_month_number,1,0))</f>
        <v>1</v>
      </c>
      <c r="H80" s="83">
        <f t="shared" ref="H80" si="40">1*$E$50</f>
        <v>1</v>
      </c>
      <c r="I80" s="83">
        <f t="shared" si="3"/>
        <v>1</v>
      </c>
      <c r="J80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0" s="99">
        <f ca="1">INDEX('Planejamento Orçamentário'!$E:$EM, expenses_total_row, MATCH(DATE(selected_year, cc_month_number, 1), 'Planejamento Orçamentário'!$E$9:$EM$9, 0))</f>
        <v>2900</v>
      </c>
      <c r="L80" s="99">
        <f ca="1">cc_budget-cc_tracked</f>
        <v>2900</v>
      </c>
      <c r="M80" s="59">
        <f ca="1">cc_in_focus * cc_show_type * MIN(cc_tracked, cc_budget)</f>
        <v>0</v>
      </c>
      <c r="N80" s="59">
        <f ca="1">cc_in_focus * cc_show_type * cc_show_remaining_budget * IF(cc_delta&gt;0, cc_delta, 0)</f>
        <v>2900</v>
      </c>
      <c r="O80" s="96">
        <f ca="1">cc_in_focus * cc_show_type * IF(cc_delta&lt;0, ABS(cc_delta), 0)</f>
        <v>0</v>
      </c>
      <c r="P80" s="59">
        <f ca="1">NOT(cc_in_focus) * cc_show_type * MIN(cc_tracked, cc_budget)</f>
        <v>0</v>
      </c>
      <c r="Q80" s="59">
        <f ca="1">NOT(cc_in_focus) * cc_show_type * cc_show_remaining_budget * IF(cc_delta&gt;0, cc_delta, 0)</f>
        <v>0</v>
      </c>
      <c r="R80" s="96">
        <f ca="1">NOT(cc_in_focus) * cc_show_type * IF(cc_delta&lt;0, ABS(cc_delta), 0)</f>
        <v>0</v>
      </c>
    </row>
    <row r="81" spans="4:18" ht="16.5">
      <c r="D81" s="125"/>
      <c r="E81" s="83" t="s">
        <v>39</v>
      </c>
      <c r="F81" s="83">
        <f t="shared" ref="F81" si="41">MONTH(D79)</f>
        <v>7</v>
      </c>
      <c r="G81" s="83">
        <f>IF(selected_period="Ano Total",1,IF(selected_period=cc_month_number,1,0))</f>
        <v>1</v>
      </c>
      <c r="H81" s="83">
        <f t="shared" ref="H81" si="42">1*$E$51</f>
        <v>1</v>
      </c>
      <c r="I81" s="83">
        <f t="shared" si="3"/>
        <v>1</v>
      </c>
      <c r="J81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1" s="99">
        <f ca="1">INDEX('Planejamento Orçamentário'!$E:$EM, savings_total_row, MATCH(DATE(selected_year, cc_month_number, 1), 'Planejamento Orçamentário'!$E$9:$EM$9, 0))</f>
        <v>2750</v>
      </c>
      <c r="L81" s="99">
        <f ca="1">cc_budget-cc_tracked</f>
        <v>2750</v>
      </c>
      <c r="M81" s="59">
        <f ca="1">cc_in_focus * cc_show_type * MIN(cc_tracked, cc_budget)</f>
        <v>0</v>
      </c>
      <c r="N81" s="59">
        <f ca="1">cc_in_focus * cc_show_type * cc_show_remaining_budget * IF(cc_delta&gt;0, cc_delta, 0)</f>
        <v>2750</v>
      </c>
      <c r="O81" s="96">
        <f ca="1">cc_in_focus * cc_show_type * IF(cc_delta&lt;0, ABS(cc_delta), 0)</f>
        <v>0</v>
      </c>
      <c r="P81" s="59">
        <f ca="1">NOT(cc_in_focus) * cc_show_type * MIN(cc_tracked, cc_budget)</f>
        <v>0</v>
      </c>
      <c r="Q81" s="59">
        <f ca="1">NOT(cc_in_focus) * cc_show_type * cc_show_remaining_budget * IF(cc_delta&gt;0, cc_delta, 0)</f>
        <v>0</v>
      </c>
      <c r="R81" s="96">
        <f ca="1">NOT(cc_in_focus) * cc_show_type * IF(cc_delta&lt;0, ABS(cc_delta), 0)</f>
        <v>0</v>
      </c>
    </row>
    <row r="82" spans="4:18" ht="16.5">
      <c r="D82" s="126"/>
      <c r="E82" s="95"/>
      <c r="F82" s="95"/>
      <c r="G82" s="95"/>
      <c r="H82" s="95"/>
      <c r="I82" s="95"/>
      <c r="J82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2" s="100"/>
      <c r="L82" s="100"/>
      <c r="M82" s="95"/>
      <c r="N82" s="95"/>
      <c r="O82" s="95"/>
      <c r="P82" s="95"/>
      <c r="Q82" s="95"/>
      <c r="R82" s="95"/>
    </row>
    <row r="83" spans="4:18" ht="16.5">
      <c r="D83" s="124">
        <f>DATE(selected_year, 8, 1)</f>
        <v>44774</v>
      </c>
      <c r="E83" s="94" t="s">
        <v>11</v>
      </c>
      <c r="F83" s="83">
        <f t="shared" ref="F83" si="43">MONTH(D83)</f>
        <v>8</v>
      </c>
      <c r="G83" s="83">
        <f>IF(selected_period="Ano Total",1,IF(selected_period=cc_month_number,1,0))</f>
        <v>1</v>
      </c>
      <c r="H83" s="83">
        <f t="shared" ref="H83" si="44">1*$E$49</f>
        <v>1</v>
      </c>
      <c r="I83" s="83">
        <f t="shared" ref="I83" si="45">1*$E$52</f>
        <v>1</v>
      </c>
      <c r="J83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3" s="99">
        <f ca="1">INDEX('Planejamento Orçamentário'!$E:$EM, income_total_row, MATCH(DATE(selected_year, cc_month_number, 1), 'Planejamento Orçamentário'!$E$9:$EM$9, 0))</f>
        <v>5550</v>
      </c>
      <c r="L83" s="99">
        <f ca="1">cc_budget-cc_tracked</f>
        <v>5550</v>
      </c>
      <c r="M83" s="59">
        <f ca="1">cc_in_focus * cc_show_type * MIN(cc_tracked, cc_budget)</f>
        <v>0</v>
      </c>
      <c r="N83" s="59">
        <f ca="1">cc_in_focus * cc_show_type * cc_show_remaining_budget * IF(cc_delta&gt;0, cc_delta, 0)</f>
        <v>5550</v>
      </c>
      <c r="O83" s="96">
        <f ca="1">cc_in_focus * cc_show_type * IF(cc_delta&lt;0, ABS(cc_delta), 0)</f>
        <v>0</v>
      </c>
      <c r="P83" s="59">
        <f ca="1">NOT(cc_in_focus) * cc_show_type * MIN(cc_tracked, cc_budget)</f>
        <v>0</v>
      </c>
      <c r="Q83" s="59">
        <f ca="1">NOT(cc_in_focus) * cc_show_type * cc_show_remaining_budget * IF(cc_delta&gt;0, cc_delta, 0)</f>
        <v>0</v>
      </c>
      <c r="R83" s="96">
        <f ca="1">NOT(cc_in_focus) * cc_show_type * IF(cc_delta&lt;0, ABS(cc_delta), 0)</f>
        <v>0</v>
      </c>
    </row>
    <row r="84" spans="4:18" ht="16.5">
      <c r="D84" s="125"/>
      <c r="E84" s="83" t="s">
        <v>38</v>
      </c>
      <c r="F84" s="83">
        <f t="shared" ref="F84" si="46">MONTH(D83)</f>
        <v>8</v>
      </c>
      <c r="G84" s="83">
        <f>IF(selected_period="Ano Total",1,IF(selected_period=cc_month_number,1,0))</f>
        <v>1</v>
      </c>
      <c r="H84" s="83">
        <f t="shared" ref="H84" si="47">1*$E$50</f>
        <v>1</v>
      </c>
      <c r="I84" s="83">
        <f t="shared" si="3"/>
        <v>1</v>
      </c>
      <c r="J84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4" s="99">
        <f ca="1">INDEX('Planejamento Orçamentário'!$E:$EM, expenses_total_row, MATCH(DATE(selected_year, cc_month_number, 1), 'Planejamento Orçamentário'!$E$9:$EM$9, 0))</f>
        <v>4100</v>
      </c>
      <c r="L84" s="99">
        <f ca="1">cc_budget-cc_tracked</f>
        <v>4100</v>
      </c>
      <c r="M84" s="59">
        <f ca="1">cc_in_focus * cc_show_type * MIN(cc_tracked, cc_budget)</f>
        <v>0</v>
      </c>
      <c r="N84" s="59">
        <f ca="1">cc_in_focus * cc_show_type * cc_show_remaining_budget * IF(cc_delta&gt;0, cc_delta, 0)</f>
        <v>4100</v>
      </c>
      <c r="O84" s="96">
        <f ca="1">cc_in_focus * cc_show_type * IF(cc_delta&lt;0, ABS(cc_delta), 0)</f>
        <v>0</v>
      </c>
      <c r="P84" s="59">
        <f ca="1">NOT(cc_in_focus) * cc_show_type * MIN(cc_tracked, cc_budget)</f>
        <v>0</v>
      </c>
      <c r="Q84" s="59">
        <f ca="1">NOT(cc_in_focus) * cc_show_type * cc_show_remaining_budget * IF(cc_delta&gt;0, cc_delta, 0)</f>
        <v>0</v>
      </c>
      <c r="R84" s="96">
        <f ca="1">NOT(cc_in_focus) * cc_show_type * IF(cc_delta&lt;0, ABS(cc_delta), 0)</f>
        <v>0</v>
      </c>
    </row>
    <row r="85" spans="4:18" ht="16.5">
      <c r="D85" s="125"/>
      <c r="E85" s="83" t="s">
        <v>39</v>
      </c>
      <c r="F85" s="83">
        <f t="shared" ref="F85" si="48">MONTH(D83)</f>
        <v>8</v>
      </c>
      <c r="G85" s="83">
        <f>IF(selected_period="Ano Total",1,IF(selected_period=cc_month_number,1,0))</f>
        <v>1</v>
      </c>
      <c r="H85" s="83">
        <f t="shared" ref="H85" si="49">1*$E$51</f>
        <v>1</v>
      </c>
      <c r="I85" s="83">
        <f t="shared" si="3"/>
        <v>1</v>
      </c>
      <c r="J85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5" s="99">
        <f ca="1">INDEX('Planejamento Orçamentário'!$E:$EM, savings_total_row, MATCH(DATE(selected_year, cc_month_number, 1), 'Planejamento Orçamentário'!$E$9:$EM$9, 0))</f>
        <v>1450</v>
      </c>
      <c r="L85" s="99">
        <f ca="1">cc_budget-cc_tracked</f>
        <v>1450</v>
      </c>
      <c r="M85" s="59">
        <f ca="1">cc_in_focus * cc_show_type * MIN(cc_tracked, cc_budget)</f>
        <v>0</v>
      </c>
      <c r="N85" s="59">
        <f ca="1">cc_in_focus * cc_show_type * cc_show_remaining_budget * IF(cc_delta&gt;0, cc_delta, 0)</f>
        <v>1450</v>
      </c>
      <c r="O85" s="96">
        <f ca="1">cc_in_focus * cc_show_type * IF(cc_delta&lt;0, ABS(cc_delta), 0)</f>
        <v>0</v>
      </c>
      <c r="P85" s="59">
        <f ca="1">NOT(cc_in_focus) * cc_show_type * MIN(cc_tracked, cc_budget)</f>
        <v>0</v>
      </c>
      <c r="Q85" s="59">
        <f ca="1">NOT(cc_in_focus) * cc_show_type * cc_show_remaining_budget * IF(cc_delta&gt;0, cc_delta, 0)</f>
        <v>0</v>
      </c>
      <c r="R85" s="96">
        <f ca="1">NOT(cc_in_focus) * cc_show_type * IF(cc_delta&lt;0, ABS(cc_delta), 0)</f>
        <v>0</v>
      </c>
    </row>
    <row r="86" spans="4:18" ht="16.5">
      <c r="D86" s="126"/>
      <c r="E86" s="95"/>
      <c r="F86" s="95"/>
      <c r="G86" s="95"/>
      <c r="H86" s="95"/>
      <c r="I86" s="95"/>
      <c r="J86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6" s="100"/>
      <c r="L86" s="100"/>
      <c r="M86" s="95"/>
      <c r="N86" s="95"/>
      <c r="O86" s="95"/>
      <c r="P86" s="95"/>
      <c r="Q86" s="95"/>
      <c r="R86" s="95"/>
    </row>
    <row r="87" spans="4:18" ht="16.5">
      <c r="D87" s="124">
        <f>DATE(selected_year, 9, 1)</f>
        <v>44805</v>
      </c>
      <c r="E87" s="94" t="s">
        <v>11</v>
      </c>
      <c r="F87" s="83">
        <f t="shared" ref="F87" si="50">MONTH(D87)</f>
        <v>9</v>
      </c>
      <c r="G87" s="83">
        <f>IF(selected_period="Ano Total",1,IF(selected_period=cc_month_number,1,0))</f>
        <v>1</v>
      </c>
      <c r="H87" s="83">
        <f t="shared" ref="H87" si="51">1*$E$49</f>
        <v>1</v>
      </c>
      <c r="I87" s="83">
        <f t="shared" ref="I87" si="52">1*$E$52</f>
        <v>1</v>
      </c>
      <c r="J87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7" s="99">
        <f ca="1">INDEX('Planejamento Orçamentário'!$E:$EM, income_total_row, MATCH(DATE(selected_year, cc_month_number, 1), 'Planejamento Orçamentário'!$E$9:$EM$9, 0))</f>
        <v>5600</v>
      </c>
      <c r="L87" s="99">
        <f ca="1">cc_budget-cc_tracked</f>
        <v>5600</v>
      </c>
      <c r="M87" s="59">
        <f ca="1">cc_in_focus * cc_show_type * MIN(cc_tracked, cc_budget)</f>
        <v>0</v>
      </c>
      <c r="N87" s="59">
        <f ca="1">cc_in_focus * cc_show_type * cc_show_remaining_budget * IF(cc_delta&gt;0, cc_delta, 0)</f>
        <v>5600</v>
      </c>
      <c r="O87" s="96">
        <f ca="1">cc_in_focus * cc_show_type * IF(cc_delta&lt;0, ABS(cc_delta), 0)</f>
        <v>0</v>
      </c>
      <c r="P87" s="59">
        <f ca="1">NOT(cc_in_focus) * cc_show_type * MIN(cc_tracked, cc_budget)</f>
        <v>0</v>
      </c>
      <c r="Q87" s="59">
        <f ca="1">NOT(cc_in_focus) * cc_show_type * cc_show_remaining_budget * IF(cc_delta&gt;0, cc_delta, 0)</f>
        <v>0</v>
      </c>
      <c r="R87" s="96">
        <f ca="1">NOT(cc_in_focus) * cc_show_type * IF(cc_delta&lt;0, ABS(cc_delta), 0)</f>
        <v>0</v>
      </c>
    </row>
    <row r="88" spans="4:18" ht="16.5">
      <c r="D88" s="125"/>
      <c r="E88" s="83" t="s">
        <v>38</v>
      </c>
      <c r="F88" s="83">
        <f t="shared" ref="F88" si="53">MONTH(D87)</f>
        <v>9</v>
      </c>
      <c r="G88" s="83">
        <f>IF(selected_period="Ano Total",1,IF(selected_period=cc_month_number,1,0))</f>
        <v>1</v>
      </c>
      <c r="H88" s="83">
        <f t="shared" ref="H88" si="54">1*$E$50</f>
        <v>1</v>
      </c>
      <c r="I88" s="83">
        <f t="shared" si="3"/>
        <v>1</v>
      </c>
      <c r="J88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8" s="99">
        <f ca="1">INDEX('Planejamento Orçamentário'!$E:$EM, expenses_total_row, MATCH(DATE(selected_year, cc_month_number, 1), 'Planejamento Orçamentário'!$E$9:$EM$9, 0))</f>
        <v>3050</v>
      </c>
      <c r="L88" s="99">
        <f ca="1">cc_budget-cc_tracked</f>
        <v>3050</v>
      </c>
      <c r="M88" s="59">
        <f ca="1">cc_in_focus * cc_show_type * MIN(cc_tracked, cc_budget)</f>
        <v>0</v>
      </c>
      <c r="N88" s="59">
        <f ca="1">cc_in_focus * cc_show_type * cc_show_remaining_budget * IF(cc_delta&gt;0, cc_delta, 0)</f>
        <v>3050</v>
      </c>
      <c r="O88" s="96">
        <f ca="1">cc_in_focus * cc_show_type * IF(cc_delta&lt;0, ABS(cc_delta), 0)</f>
        <v>0</v>
      </c>
      <c r="P88" s="59">
        <f ca="1">NOT(cc_in_focus) * cc_show_type * MIN(cc_tracked, cc_budget)</f>
        <v>0</v>
      </c>
      <c r="Q88" s="59">
        <f ca="1">NOT(cc_in_focus) * cc_show_type * cc_show_remaining_budget * IF(cc_delta&gt;0, cc_delta, 0)</f>
        <v>0</v>
      </c>
      <c r="R88" s="96">
        <f ca="1">NOT(cc_in_focus) * cc_show_type * IF(cc_delta&lt;0, ABS(cc_delta), 0)</f>
        <v>0</v>
      </c>
    </row>
    <row r="89" spans="4:18" ht="16.5">
      <c r="D89" s="125"/>
      <c r="E89" s="83" t="s">
        <v>39</v>
      </c>
      <c r="F89" s="83">
        <f t="shared" ref="F89" si="55">MONTH(D87)</f>
        <v>9</v>
      </c>
      <c r="G89" s="83">
        <f>IF(selected_period="Ano Total",1,IF(selected_period=cc_month_number,1,0))</f>
        <v>1</v>
      </c>
      <c r="H89" s="83">
        <f t="shared" ref="H89" si="56">1*$E$51</f>
        <v>1</v>
      </c>
      <c r="I89" s="83">
        <f t="shared" si="3"/>
        <v>1</v>
      </c>
      <c r="J89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89" s="99">
        <f ca="1">INDEX('Planejamento Orçamentário'!$E:$EM, savings_total_row, MATCH(DATE(selected_year, cc_month_number, 1), 'Planejamento Orçamentário'!$E$9:$EM$9, 0))</f>
        <v>2550</v>
      </c>
      <c r="L89" s="99">
        <f ca="1">cc_budget-cc_tracked</f>
        <v>2550</v>
      </c>
      <c r="M89" s="59">
        <f ca="1">cc_in_focus * cc_show_type * MIN(cc_tracked, cc_budget)</f>
        <v>0</v>
      </c>
      <c r="N89" s="59">
        <f ca="1">cc_in_focus * cc_show_type * cc_show_remaining_budget * IF(cc_delta&gt;0, cc_delta, 0)</f>
        <v>2550</v>
      </c>
      <c r="O89" s="96">
        <f ca="1">cc_in_focus * cc_show_type * IF(cc_delta&lt;0, ABS(cc_delta), 0)</f>
        <v>0</v>
      </c>
      <c r="P89" s="59">
        <f ca="1">NOT(cc_in_focus) * cc_show_type * MIN(cc_tracked, cc_budget)</f>
        <v>0</v>
      </c>
      <c r="Q89" s="59">
        <f ca="1">NOT(cc_in_focus) * cc_show_type * cc_show_remaining_budget * IF(cc_delta&gt;0, cc_delta, 0)</f>
        <v>0</v>
      </c>
      <c r="R89" s="96">
        <f ca="1">NOT(cc_in_focus) * cc_show_type * IF(cc_delta&lt;0, ABS(cc_delta), 0)</f>
        <v>0</v>
      </c>
    </row>
    <row r="90" spans="4:18" ht="16.5">
      <c r="D90" s="126"/>
      <c r="E90" s="95"/>
      <c r="F90" s="95"/>
      <c r="G90" s="95"/>
      <c r="H90" s="95"/>
      <c r="I90" s="95"/>
      <c r="J90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0" s="100"/>
      <c r="L90" s="100"/>
      <c r="M90" s="95"/>
      <c r="N90" s="95"/>
      <c r="O90" s="95"/>
      <c r="P90" s="95"/>
      <c r="Q90" s="95"/>
      <c r="R90" s="95"/>
    </row>
    <row r="91" spans="4:18" ht="16.5">
      <c r="D91" s="124">
        <f>DATE(selected_year, 10, 1)</f>
        <v>44835</v>
      </c>
      <c r="E91" s="94" t="s">
        <v>11</v>
      </c>
      <c r="F91" s="83">
        <f t="shared" ref="F91" si="57">MONTH(D91)</f>
        <v>10</v>
      </c>
      <c r="G91" s="83">
        <f>IF(selected_period="Ano Total",1,IF(selected_period=cc_month_number,1,0))</f>
        <v>1</v>
      </c>
      <c r="H91" s="83">
        <f t="shared" ref="H91" si="58">1*$E$49</f>
        <v>1</v>
      </c>
      <c r="I91" s="83">
        <f t="shared" ref="I91" si="59">1*$E$52</f>
        <v>1</v>
      </c>
      <c r="J91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1" s="99">
        <f ca="1">INDEX('Planejamento Orçamentário'!$E:$EM, income_total_row, MATCH(DATE(selected_year, cc_month_number, 1), 'Planejamento Orçamentário'!$E$9:$EM$9, 0))</f>
        <v>5650</v>
      </c>
      <c r="L91" s="99">
        <f ca="1">cc_budget-cc_tracked</f>
        <v>5650</v>
      </c>
      <c r="M91" s="59">
        <f ca="1">cc_in_focus * cc_show_type * MIN(cc_tracked, cc_budget)</f>
        <v>0</v>
      </c>
      <c r="N91" s="59">
        <f ca="1">cc_in_focus * cc_show_type * cc_show_remaining_budget * IF(cc_delta&gt;0, cc_delta, 0)</f>
        <v>5650</v>
      </c>
      <c r="O91" s="96">
        <f ca="1">cc_in_focus * cc_show_type * IF(cc_delta&lt;0, ABS(cc_delta), 0)</f>
        <v>0</v>
      </c>
      <c r="P91" s="59">
        <f ca="1">NOT(cc_in_focus) * cc_show_type * MIN(cc_tracked, cc_budget)</f>
        <v>0</v>
      </c>
      <c r="Q91" s="59">
        <f ca="1">NOT(cc_in_focus) * cc_show_type * cc_show_remaining_budget * IF(cc_delta&gt;0, cc_delta, 0)</f>
        <v>0</v>
      </c>
      <c r="R91" s="96">
        <f ca="1">NOT(cc_in_focus) * cc_show_type * IF(cc_delta&lt;0, ABS(cc_delta), 0)</f>
        <v>0</v>
      </c>
    </row>
    <row r="92" spans="4:18" ht="16.5">
      <c r="D92" s="125"/>
      <c r="E92" s="83" t="s">
        <v>38</v>
      </c>
      <c r="F92" s="83">
        <f t="shared" ref="F92" si="60">MONTH(D91)</f>
        <v>10</v>
      </c>
      <c r="G92" s="83">
        <f>IF(selected_period="Ano Total",1,IF(selected_period=cc_month_number,1,0))</f>
        <v>1</v>
      </c>
      <c r="H92" s="83">
        <f t="shared" ref="H92" si="61">1*$E$50</f>
        <v>1</v>
      </c>
      <c r="I92" s="83">
        <f t="shared" si="3"/>
        <v>1</v>
      </c>
      <c r="J92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2" s="99">
        <f ca="1">INDEX('Planejamento Orçamentário'!$E:$EM, expenses_total_row, MATCH(DATE(selected_year, cc_month_number, 1), 'Planejamento Orçamentário'!$E$9:$EM$9, 0))</f>
        <v>2900</v>
      </c>
      <c r="L92" s="99">
        <f ca="1">cc_budget-cc_tracked</f>
        <v>2900</v>
      </c>
      <c r="M92" s="59">
        <f ca="1">cc_in_focus * cc_show_type * MIN(cc_tracked, cc_budget)</f>
        <v>0</v>
      </c>
      <c r="N92" s="59">
        <f ca="1">cc_in_focus * cc_show_type * cc_show_remaining_budget * IF(cc_delta&gt;0, cc_delta, 0)</f>
        <v>2900</v>
      </c>
      <c r="O92" s="96">
        <f ca="1">cc_in_focus * cc_show_type * IF(cc_delta&lt;0, ABS(cc_delta), 0)</f>
        <v>0</v>
      </c>
      <c r="P92" s="59">
        <f ca="1">NOT(cc_in_focus) * cc_show_type * MIN(cc_tracked, cc_budget)</f>
        <v>0</v>
      </c>
      <c r="Q92" s="59">
        <f ca="1">NOT(cc_in_focus) * cc_show_type * cc_show_remaining_budget * IF(cc_delta&gt;0, cc_delta, 0)</f>
        <v>0</v>
      </c>
      <c r="R92" s="96">
        <f ca="1">NOT(cc_in_focus) * cc_show_type * IF(cc_delta&lt;0, ABS(cc_delta), 0)</f>
        <v>0</v>
      </c>
    </row>
    <row r="93" spans="4:18" ht="16.5">
      <c r="D93" s="125"/>
      <c r="E93" s="83" t="s">
        <v>39</v>
      </c>
      <c r="F93" s="83">
        <f t="shared" ref="F93" si="62">MONTH(D91)</f>
        <v>10</v>
      </c>
      <c r="G93" s="83">
        <f>IF(selected_period="Ano Total",1,IF(selected_period=cc_month_number,1,0))</f>
        <v>1</v>
      </c>
      <c r="H93" s="83">
        <f t="shared" ref="H93" si="63">1*$E$51</f>
        <v>1</v>
      </c>
      <c r="I93" s="83">
        <f t="shared" si="3"/>
        <v>1</v>
      </c>
      <c r="J93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3" s="99">
        <f ca="1">INDEX('Planejamento Orçamentário'!$E:$EM, savings_total_row, MATCH(DATE(selected_year, cc_month_number, 1), 'Planejamento Orçamentário'!$E$9:$EM$9, 0))</f>
        <v>2750</v>
      </c>
      <c r="L93" s="99">
        <f ca="1">cc_budget-cc_tracked</f>
        <v>2750</v>
      </c>
      <c r="M93" s="59">
        <f ca="1">cc_in_focus * cc_show_type * MIN(cc_tracked, cc_budget)</f>
        <v>0</v>
      </c>
      <c r="N93" s="59">
        <f ca="1">cc_in_focus * cc_show_type * cc_show_remaining_budget * IF(cc_delta&gt;0, cc_delta, 0)</f>
        <v>2750</v>
      </c>
      <c r="O93" s="96">
        <f ca="1">cc_in_focus * cc_show_type * IF(cc_delta&lt;0, ABS(cc_delta), 0)</f>
        <v>0</v>
      </c>
      <c r="P93" s="59">
        <f ca="1">NOT(cc_in_focus) * cc_show_type * MIN(cc_tracked, cc_budget)</f>
        <v>0</v>
      </c>
      <c r="Q93" s="59">
        <f ca="1">NOT(cc_in_focus) * cc_show_type * cc_show_remaining_budget * IF(cc_delta&gt;0, cc_delta, 0)</f>
        <v>0</v>
      </c>
      <c r="R93" s="96">
        <f ca="1">NOT(cc_in_focus) * cc_show_type * IF(cc_delta&lt;0, ABS(cc_delta), 0)</f>
        <v>0</v>
      </c>
    </row>
    <row r="94" spans="4:18" ht="16.5">
      <c r="D94" s="126"/>
      <c r="E94" s="95"/>
      <c r="F94" s="95"/>
      <c r="G94" s="95"/>
      <c r="H94" s="95"/>
      <c r="I94" s="95"/>
      <c r="J94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4" s="100"/>
      <c r="L94" s="100"/>
      <c r="M94" s="95"/>
      <c r="N94" s="95"/>
      <c r="O94" s="95"/>
      <c r="P94" s="95"/>
      <c r="Q94" s="95"/>
      <c r="R94" s="95"/>
    </row>
    <row r="95" spans="4:18" ht="16.5">
      <c r="D95" s="124">
        <f>DATE(selected_year, 11, 1)</f>
        <v>44866</v>
      </c>
      <c r="E95" s="94" t="s">
        <v>11</v>
      </c>
      <c r="F95" s="83">
        <f t="shared" ref="F95" si="64">MONTH(D95)</f>
        <v>11</v>
      </c>
      <c r="G95" s="83">
        <f>IF(selected_period="Ano Total",1,IF(selected_period=cc_month_number,1,0))</f>
        <v>1</v>
      </c>
      <c r="H95" s="83">
        <f t="shared" ref="H95" si="65">1*$E$49</f>
        <v>1</v>
      </c>
      <c r="I95" s="83">
        <f t="shared" ref="I95" si="66">1*$E$52</f>
        <v>1</v>
      </c>
      <c r="J95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5" s="99">
        <f ca="1">INDEX('Planejamento Orçamentário'!$E:$EM, income_total_row, MATCH(DATE(selected_year, cc_month_number, 1), 'Planejamento Orçamentário'!$E$9:$EM$9, 0))</f>
        <v>5550</v>
      </c>
      <c r="L95" s="99">
        <f ca="1">cc_budget-cc_tracked</f>
        <v>5550</v>
      </c>
      <c r="M95" s="59">
        <f ca="1">cc_in_focus * cc_show_type * MIN(cc_tracked, cc_budget)</f>
        <v>0</v>
      </c>
      <c r="N95" s="59">
        <f ca="1">cc_in_focus * cc_show_type * cc_show_remaining_budget * IF(cc_delta&gt;0, cc_delta, 0)</f>
        <v>5550</v>
      </c>
      <c r="O95" s="96">
        <f ca="1">cc_in_focus * cc_show_type * IF(cc_delta&lt;0, ABS(cc_delta), 0)</f>
        <v>0</v>
      </c>
      <c r="P95" s="59">
        <f ca="1">NOT(cc_in_focus) * cc_show_type * MIN(cc_tracked, cc_budget)</f>
        <v>0</v>
      </c>
      <c r="Q95" s="59">
        <f ca="1">NOT(cc_in_focus) * cc_show_type * cc_show_remaining_budget * IF(cc_delta&gt;0, cc_delta, 0)</f>
        <v>0</v>
      </c>
      <c r="R95" s="96">
        <f ca="1">NOT(cc_in_focus) * cc_show_type * IF(cc_delta&lt;0, ABS(cc_delta), 0)</f>
        <v>0</v>
      </c>
    </row>
    <row r="96" spans="4:18" ht="16.5">
      <c r="D96" s="125"/>
      <c r="E96" s="83" t="s">
        <v>38</v>
      </c>
      <c r="F96" s="83">
        <f t="shared" ref="F96" si="67">MONTH(D95)</f>
        <v>11</v>
      </c>
      <c r="G96" s="83">
        <f>IF(selected_period="Ano Total",1,IF(selected_period=cc_month_number,1,0))</f>
        <v>1</v>
      </c>
      <c r="H96" s="83">
        <f t="shared" ref="H96" si="68">1*$E$50</f>
        <v>1</v>
      </c>
      <c r="I96" s="83">
        <f t="shared" si="3"/>
        <v>1</v>
      </c>
      <c r="J96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6" s="99">
        <f ca="1">INDEX('Planejamento Orçamentário'!$E:$EM, expenses_total_row, MATCH(DATE(selected_year, cc_month_number, 1), 'Planejamento Orçamentário'!$E$9:$EM$9, 0))</f>
        <v>2900</v>
      </c>
      <c r="L96" s="99">
        <f ca="1">cc_budget-cc_tracked</f>
        <v>2900</v>
      </c>
      <c r="M96" s="59">
        <f ca="1">cc_in_focus * cc_show_type * MIN(cc_tracked, cc_budget)</f>
        <v>0</v>
      </c>
      <c r="N96" s="59">
        <f ca="1">cc_in_focus * cc_show_type * cc_show_remaining_budget * IF(cc_delta&gt;0, cc_delta, 0)</f>
        <v>2900</v>
      </c>
      <c r="O96" s="96">
        <f ca="1">cc_in_focus * cc_show_type * IF(cc_delta&lt;0, ABS(cc_delta), 0)</f>
        <v>0</v>
      </c>
      <c r="P96" s="59">
        <f ca="1">NOT(cc_in_focus) * cc_show_type * MIN(cc_tracked, cc_budget)</f>
        <v>0</v>
      </c>
      <c r="Q96" s="59">
        <f ca="1">NOT(cc_in_focus) * cc_show_type * cc_show_remaining_budget * IF(cc_delta&gt;0, cc_delta, 0)</f>
        <v>0</v>
      </c>
      <c r="R96" s="96">
        <f ca="1">NOT(cc_in_focus) * cc_show_type * IF(cc_delta&lt;0, ABS(cc_delta), 0)</f>
        <v>0</v>
      </c>
    </row>
    <row r="97" spans="4:18" ht="16.5">
      <c r="D97" s="125"/>
      <c r="E97" s="83" t="s">
        <v>39</v>
      </c>
      <c r="F97" s="83">
        <f t="shared" ref="F97" si="69">MONTH(D95)</f>
        <v>11</v>
      </c>
      <c r="G97" s="83">
        <f>IF(selected_period="Ano Total",1,IF(selected_period=cc_month_number,1,0))</f>
        <v>1</v>
      </c>
      <c r="H97" s="83">
        <f t="shared" ref="H97" si="70">1*$E$51</f>
        <v>1</v>
      </c>
      <c r="I97" s="83">
        <f t="shared" si="3"/>
        <v>1</v>
      </c>
      <c r="J97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7" s="99">
        <f ca="1">INDEX('Planejamento Orçamentário'!$E:$EM, savings_total_row, MATCH(DATE(selected_year, cc_month_number, 1), 'Planejamento Orçamentário'!$E$9:$EM$9, 0))</f>
        <v>2650</v>
      </c>
      <c r="L97" s="99">
        <f ca="1">cc_budget-cc_tracked</f>
        <v>2650</v>
      </c>
      <c r="M97" s="59">
        <f ca="1">cc_in_focus * cc_show_type * MIN(cc_tracked, cc_budget)</f>
        <v>0</v>
      </c>
      <c r="N97" s="59">
        <f ca="1">cc_in_focus * cc_show_type * cc_show_remaining_budget * IF(cc_delta&gt;0, cc_delta, 0)</f>
        <v>2650</v>
      </c>
      <c r="O97" s="96">
        <f ca="1">cc_in_focus * cc_show_type * IF(cc_delta&lt;0, ABS(cc_delta), 0)</f>
        <v>0</v>
      </c>
      <c r="P97" s="59">
        <f ca="1">NOT(cc_in_focus) * cc_show_type * MIN(cc_tracked, cc_budget)</f>
        <v>0</v>
      </c>
      <c r="Q97" s="59">
        <f ca="1">NOT(cc_in_focus) * cc_show_type * cc_show_remaining_budget * IF(cc_delta&gt;0, cc_delta, 0)</f>
        <v>0</v>
      </c>
      <c r="R97" s="96">
        <f ca="1">NOT(cc_in_focus) * cc_show_type * IF(cc_delta&lt;0, ABS(cc_delta), 0)</f>
        <v>0</v>
      </c>
    </row>
    <row r="98" spans="4:18" ht="16.5">
      <c r="D98" s="126"/>
      <c r="E98" s="95"/>
      <c r="F98" s="95"/>
      <c r="G98" s="95"/>
      <c r="H98" s="95"/>
      <c r="I98" s="95"/>
      <c r="J98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8" s="100"/>
      <c r="L98" s="100"/>
      <c r="M98" s="95"/>
      <c r="N98" s="95"/>
      <c r="O98" s="95"/>
      <c r="P98" s="95"/>
      <c r="Q98" s="95"/>
      <c r="R98" s="95"/>
    </row>
    <row r="99" spans="4:18" ht="16.5">
      <c r="D99" s="124">
        <f>DATE(selected_year, 12, 1)</f>
        <v>44896</v>
      </c>
      <c r="E99" s="94" t="s">
        <v>11</v>
      </c>
      <c r="F99" s="83">
        <f t="shared" ref="F99" si="71">MONTH(D99)</f>
        <v>12</v>
      </c>
      <c r="G99" s="83">
        <f>IF(selected_period="Ano Total",1,IF(selected_period=cc_month_number,1,0))</f>
        <v>1</v>
      </c>
      <c r="H99" s="83">
        <f t="shared" ref="H99" si="72">1*$E$49</f>
        <v>1</v>
      </c>
      <c r="I99" s="83">
        <f t="shared" ref="I99" si="73">1*$E$52</f>
        <v>1</v>
      </c>
      <c r="J99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99" s="99">
        <f ca="1">INDEX('Planejamento Orçamentário'!$E:$EM, income_total_row, MATCH(DATE(selected_year, cc_month_number, 1), 'Planejamento Orçamentário'!$E$9:$EM$9, 0))</f>
        <v>5600</v>
      </c>
      <c r="L99" s="99">
        <f ca="1">cc_budget-cc_tracked</f>
        <v>5600</v>
      </c>
      <c r="M99" s="59">
        <f ca="1">cc_in_focus * cc_show_type * MIN(cc_tracked, cc_budget)</f>
        <v>0</v>
      </c>
      <c r="N99" s="59">
        <f ca="1">cc_in_focus * cc_show_type * cc_show_remaining_budget * IF(cc_delta&gt;0, cc_delta, 0)</f>
        <v>5600</v>
      </c>
      <c r="O99" s="96">
        <f ca="1">cc_in_focus * cc_show_type * IF(cc_delta&lt;0, ABS(cc_delta), 0)</f>
        <v>0</v>
      </c>
      <c r="P99" s="59">
        <f ca="1">NOT(cc_in_focus) * cc_show_type * MIN(cc_tracked, cc_budget)</f>
        <v>0</v>
      </c>
      <c r="Q99" s="59">
        <f ca="1">NOT(cc_in_focus) * cc_show_type * cc_show_remaining_budget * IF(cc_delta&gt;0, cc_delta, 0)</f>
        <v>0</v>
      </c>
      <c r="R99" s="96">
        <f ca="1">NOT(cc_in_focus) * cc_show_type * IF(cc_delta&lt;0, ABS(cc_delta), 0)</f>
        <v>0</v>
      </c>
    </row>
    <row r="100" spans="4:18" ht="16.5">
      <c r="D100" s="125"/>
      <c r="E100" s="83" t="s">
        <v>38</v>
      </c>
      <c r="F100" s="83">
        <f t="shared" ref="F100" si="74">MONTH(D99)</f>
        <v>12</v>
      </c>
      <c r="G100" s="83">
        <f>IF(selected_period="Ano Total",1,IF(selected_period=cc_month_number,1,0))</f>
        <v>1</v>
      </c>
      <c r="H100" s="83">
        <f t="shared" ref="H100" si="75">1*$E$50</f>
        <v>1</v>
      </c>
      <c r="I100" s="83">
        <f t="shared" si="3"/>
        <v>1</v>
      </c>
      <c r="J100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100" s="99">
        <f ca="1">INDEX('Planejamento Orçamentário'!$E:$EM, expenses_total_row, MATCH(DATE(selected_year, cc_month_number, 1), 'Planejamento Orçamentário'!$E$9:$EM$9, 0))</f>
        <v>3350</v>
      </c>
      <c r="L100" s="99">
        <f ca="1">cc_budget-cc_tracked</f>
        <v>3350</v>
      </c>
      <c r="M100" s="59">
        <f ca="1">cc_in_focus * cc_show_type * MIN(cc_tracked, cc_budget)</f>
        <v>0</v>
      </c>
      <c r="N100" s="59">
        <f ca="1">cc_in_focus * cc_show_type * cc_show_remaining_budget * IF(cc_delta&gt;0, cc_delta, 0)</f>
        <v>3350</v>
      </c>
      <c r="O100" s="96">
        <f ca="1">cc_in_focus * cc_show_type * IF(cc_delta&lt;0, ABS(cc_delta), 0)</f>
        <v>0</v>
      </c>
      <c r="P100" s="59">
        <f ca="1">NOT(cc_in_focus) * cc_show_type * MIN(cc_tracked, cc_budget)</f>
        <v>0</v>
      </c>
      <c r="Q100" s="59">
        <f ca="1">NOT(cc_in_focus) * cc_show_type * cc_show_remaining_budget * IF(cc_delta&gt;0, cc_delta, 0)</f>
        <v>0</v>
      </c>
      <c r="R100" s="96">
        <f ca="1">NOT(cc_in_focus) * cc_show_type * IF(cc_delta&lt;0, ABS(cc_delta), 0)</f>
        <v>0</v>
      </c>
    </row>
    <row r="101" spans="4:18" ht="16.5">
      <c r="D101" s="125"/>
      <c r="E101" s="83" t="s">
        <v>39</v>
      </c>
      <c r="F101" s="83">
        <f t="shared" ref="F101" si="76">MONTH(D99)</f>
        <v>12</v>
      </c>
      <c r="G101" s="83">
        <f>IF(selected_period="Ano Total",1,IF(selected_period=cc_month_number,1,0))</f>
        <v>1</v>
      </c>
      <c r="H101" s="83">
        <f t="shared" ref="H101" si="77">1*$E$51</f>
        <v>1</v>
      </c>
      <c r="I101" s="83">
        <f t="shared" si="3"/>
        <v>1</v>
      </c>
      <c r="J101" s="99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101" s="99">
        <f ca="1">INDEX('Planejamento Orçamentário'!$E:$EM, savings_total_row, MATCH(DATE(selected_year, cc_month_number, 1), 'Planejamento Orçamentário'!$E$9:$EM$9, 0))</f>
        <v>2250</v>
      </c>
      <c r="L101" s="99">
        <f ca="1">cc_budget-cc_tracked</f>
        <v>2250</v>
      </c>
      <c r="M101" s="59">
        <f ca="1">cc_in_focus * cc_show_type * MIN(cc_tracked, cc_budget)</f>
        <v>0</v>
      </c>
      <c r="N101" s="59">
        <f ca="1">cc_in_focus * cc_show_type * cc_show_remaining_budget * IF(cc_delta&gt;0, cc_delta, 0)</f>
        <v>2250</v>
      </c>
      <c r="O101" s="96">
        <f ca="1">cc_in_focus * cc_show_type * IF(cc_delta&lt;0, ABS(cc_delta), 0)</f>
        <v>0</v>
      </c>
      <c r="P101" s="59">
        <f ca="1">NOT(cc_in_focus) * cc_show_type * MIN(cc_tracked, cc_budget)</f>
        <v>0</v>
      </c>
      <c r="Q101" s="59">
        <f ca="1">NOT(cc_in_focus) * cc_show_type * cc_show_remaining_budget * IF(cc_delta&gt;0, cc_delta, 0)</f>
        <v>0</v>
      </c>
      <c r="R101" s="96">
        <f ca="1">NOT(cc_in_focus) * cc_show_type * IF(cc_delta&lt;0, ABS(cc_delta), 0)</f>
        <v>0</v>
      </c>
    </row>
    <row r="102" spans="4:18" ht="16.5">
      <c r="D102" s="126"/>
      <c r="E102" s="95"/>
      <c r="F102" s="95"/>
      <c r="G102" s="95"/>
      <c r="H102" s="95"/>
      <c r="I102" s="95"/>
      <c r="J102" s="100">
        <f>IF(AND(selected_period=cc_month_number, selected_period="Ano Total"),
            SUMIFS( Tracking[Montante], Tracking[Tipo],cc_type, Tracking[Data Efetiva],"&gt;="&amp;DATE(selected_year,1,1),Tracking[Data Efetiva],"&lt;="&amp;DATE(selected_year,12,31)),
            SUMIFS( Tracking[Montante], Tracking[Tipo],cc_type, Tracking[Data Efetiva],"&gt;="&amp;DATE(selected_year,cc_month_number,1),Tracking[Data Efetiva],"&lt;="&amp;DATE(selected_year,cc_month_number,DAY(EOMONTH(DATE(selected_year,cc_month_number,1),0)))))</f>
        <v>0</v>
      </c>
      <c r="K102" s="100"/>
      <c r="L102" s="100"/>
      <c r="M102" s="95"/>
      <c r="N102" s="95"/>
      <c r="O102" s="95"/>
      <c r="P102" s="95"/>
      <c r="Q102" s="95"/>
      <c r="R102" s="95"/>
    </row>
  </sheetData>
  <mergeCells count="16">
    <mergeCell ref="C6:F6"/>
    <mergeCell ref="C17:F17"/>
    <mergeCell ref="M53:O53"/>
    <mergeCell ref="P53:R53"/>
    <mergeCell ref="D55:D58"/>
    <mergeCell ref="D59:D62"/>
    <mergeCell ref="D63:D66"/>
    <mergeCell ref="D67:D70"/>
    <mergeCell ref="D71:D74"/>
    <mergeCell ref="D75:D78"/>
    <mergeCell ref="D99:D102"/>
    <mergeCell ref="D79:D82"/>
    <mergeCell ref="D83:D86"/>
    <mergeCell ref="D87:D90"/>
    <mergeCell ref="D91:D94"/>
    <mergeCell ref="D95:D98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E10B-427F-431E-BAD2-BE62FC8FD189}">
  <sheetPr codeName="Sheet6">
    <tabColor theme="8"/>
  </sheetPr>
  <dimension ref="C1:E21"/>
  <sheetViews>
    <sheetView showGridLines="0" workbookViewId="0">
      <pane ySplit="3" topLeftCell="A4" activePane="bottomLeft" state="frozen"/>
      <selection pane="bottomLeft" activeCell="G50" sqref="G50"/>
    </sheetView>
  </sheetViews>
  <sheetFormatPr defaultRowHeight="15"/>
  <cols>
    <col min="3" max="3" width="27.140625" customWidth="1"/>
    <col min="5" max="5" width="29.85546875" customWidth="1"/>
  </cols>
  <sheetData>
    <row r="1" spans="3:5" s="57" customFormat="1"/>
    <row r="2" spans="3:5" s="57" customFormat="1" ht="29.25">
      <c r="C2" s="58" t="s">
        <v>5</v>
      </c>
    </row>
    <row r="3" spans="3:5" s="57" customFormat="1"/>
    <row r="7" spans="3:5" ht="16.5">
      <c r="C7" s="46" t="s">
        <v>60</v>
      </c>
      <c r="E7" s="46" t="s">
        <v>62</v>
      </c>
    </row>
    <row r="8" spans="3:5">
      <c r="C8" s="47" t="s">
        <v>61</v>
      </c>
      <c r="E8" s="47" t="s">
        <v>63</v>
      </c>
    </row>
    <row r="9" spans="3:5">
      <c r="C9" s="47">
        <f>starting_year</f>
        <v>2022</v>
      </c>
      <c r="E9" s="47" t="s">
        <v>64</v>
      </c>
    </row>
    <row r="10" spans="3:5">
      <c r="C10" s="47">
        <f>C9+1</f>
        <v>2023</v>
      </c>
      <c r="E10" s="49">
        <v>36526</v>
      </c>
    </row>
    <row r="11" spans="3:5">
      <c r="C11" s="47">
        <f t="shared" ref="C11:C18" si="0">C10+1</f>
        <v>2024</v>
      </c>
      <c r="E11" s="49">
        <v>36557</v>
      </c>
    </row>
    <row r="12" spans="3:5">
      <c r="C12" s="47">
        <f t="shared" si="0"/>
        <v>2025</v>
      </c>
      <c r="E12" s="49">
        <v>36586</v>
      </c>
    </row>
    <row r="13" spans="3:5">
      <c r="C13" s="47">
        <f t="shared" si="0"/>
        <v>2026</v>
      </c>
      <c r="E13" s="49">
        <v>36617</v>
      </c>
    </row>
    <row r="14" spans="3:5">
      <c r="C14" s="47">
        <f t="shared" si="0"/>
        <v>2027</v>
      </c>
      <c r="E14" s="49">
        <v>36647</v>
      </c>
    </row>
    <row r="15" spans="3:5">
      <c r="C15" s="47">
        <f t="shared" si="0"/>
        <v>2028</v>
      </c>
      <c r="E15" s="49">
        <v>36678</v>
      </c>
    </row>
    <row r="16" spans="3:5">
      <c r="C16" s="47">
        <f t="shared" si="0"/>
        <v>2029</v>
      </c>
      <c r="E16" s="49">
        <v>36708</v>
      </c>
    </row>
    <row r="17" spans="3:5">
      <c r="C17" s="47">
        <f t="shared" si="0"/>
        <v>2030</v>
      </c>
      <c r="E17" s="49">
        <v>36739</v>
      </c>
    </row>
    <row r="18" spans="3:5">
      <c r="C18" s="48">
        <f t="shared" si="0"/>
        <v>2031</v>
      </c>
      <c r="E18" s="49">
        <v>36770</v>
      </c>
    </row>
    <row r="19" spans="3:5">
      <c r="E19" s="49">
        <v>36800</v>
      </c>
    </row>
    <row r="20" spans="3:5">
      <c r="E20" s="49">
        <v>36831</v>
      </c>
    </row>
    <row r="21" spans="3:5">
      <c r="E21" s="50">
        <v>36861</v>
      </c>
    </row>
  </sheetData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85C4-5A0F-47A4-8A1F-BAD87139DA45}">
  <sheetPr codeName="Sheet7">
    <tabColor theme="1"/>
  </sheetPr>
  <dimension ref="B1:N9"/>
  <sheetViews>
    <sheetView showGridLines="0" workbookViewId="0">
      <selection activeCell="I18" sqref="I18"/>
    </sheetView>
  </sheetViews>
  <sheetFormatPr defaultRowHeight="15"/>
  <cols>
    <col min="2" max="2" width="7.85546875" bestFit="1" customWidth="1"/>
    <col min="3" max="3" width="32" bestFit="1" customWidth="1"/>
    <col min="4" max="4" width="13.28515625" bestFit="1" customWidth="1"/>
    <col min="5" max="5" width="11.85546875" bestFit="1" customWidth="1"/>
    <col min="6" max="6" width="15.85546875" bestFit="1" customWidth="1"/>
    <col min="13" max="13" width="14.7109375" bestFit="1" customWidth="1"/>
    <col min="14" max="14" width="61.140625" bestFit="1" customWidth="1"/>
  </cols>
  <sheetData>
    <row r="1" spans="2:14" s="1" customFormat="1"/>
    <row r="2" spans="2:14" s="1" customFormat="1" ht="29.25">
      <c r="C2" s="2" t="s">
        <v>122</v>
      </c>
    </row>
    <row r="3" spans="2:14" s="1" customFormat="1"/>
    <row r="6" spans="2:14" ht="16.5">
      <c r="B6" s="104" t="s">
        <v>119</v>
      </c>
      <c r="C6" s="104" t="s">
        <v>120</v>
      </c>
      <c r="D6" s="104" t="s">
        <v>123</v>
      </c>
      <c r="E6" s="104" t="s">
        <v>121</v>
      </c>
      <c r="F6" s="104" t="s">
        <v>124</v>
      </c>
      <c r="M6" s="130" t="s">
        <v>124</v>
      </c>
      <c r="N6" s="130"/>
    </row>
    <row r="7" spans="2:14" ht="16.5">
      <c r="B7" s="105">
        <v>1</v>
      </c>
      <c r="C7" s="105" t="s">
        <v>125</v>
      </c>
      <c r="D7" s="114" t="s">
        <v>126</v>
      </c>
      <c r="E7" s="112">
        <v>123</v>
      </c>
      <c r="F7" s="105" t="s">
        <v>127</v>
      </c>
      <c r="M7" s="110" t="s">
        <v>127</v>
      </c>
      <c r="N7" s="106" t="s">
        <v>129</v>
      </c>
    </row>
    <row r="8" spans="2:14" ht="16.5">
      <c r="B8" s="111">
        <v>2</v>
      </c>
      <c r="C8" s="111" t="s">
        <v>134</v>
      </c>
      <c r="D8" s="115" t="s">
        <v>135</v>
      </c>
      <c r="E8" s="113">
        <v>321</v>
      </c>
      <c r="F8" s="111" t="s">
        <v>130</v>
      </c>
      <c r="M8" s="110" t="s">
        <v>128</v>
      </c>
      <c r="N8" s="106" t="s">
        <v>131</v>
      </c>
    </row>
    <row r="9" spans="2:14" ht="16.5">
      <c r="B9" s="111">
        <v>3</v>
      </c>
      <c r="C9" s="111" t="s">
        <v>136</v>
      </c>
      <c r="D9" s="115" t="s">
        <v>137</v>
      </c>
      <c r="E9" s="113">
        <v>123456</v>
      </c>
      <c r="F9" s="111" t="s">
        <v>128</v>
      </c>
      <c r="M9" s="110" t="s">
        <v>130</v>
      </c>
      <c r="N9" s="106" t="s">
        <v>3</v>
      </c>
    </row>
  </sheetData>
  <mergeCells count="1">
    <mergeCell ref="M6:N6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39</vt:i4>
      </vt:variant>
    </vt:vector>
  </HeadingPairs>
  <TitlesOfParts>
    <vt:vector size="43" baseType="lpstr">
      <vt:lpstr>Configurações</vt:lpstr>
      <vt:lpstr>Dashboard</vt:lpstr>
      <vt:lpstr>Cálculos</vt:lpstr>
      <vt:lpstr>Dados</vt:lpstr>
      <vt:lpstr>Dashboard!budget</vt:lpstr>
      <vt:lpstr>Dashboard!budget_range</vt:lpstr>
      <vt:lpstr>Dashboard!budget_rank</vt:lpstr>
      <vt:lpstr>Cálculos!cc_budget</vt:lpstr>
      <vt:lpstr>Cálculos!cc_delta</vt:lpstr>
      <vt:lpstr>Cálculos!cc_in_focus</vt:lpstr>
      <vt:lpstr>Cálculos!cc_month_number</vt:lpstr>
      <vt:lpstr>Cálculos!cc_show_remaining_budget</vt:lpstr>
      <vt:lpstr>Cálculos!cc_show_type</vt:lpstr>
      <vt:lpstr>Cálculos!cc_tracked</vt:lpstr>
      <vt:lpstr>Cálculos!cc_type</vt:lpstr>
      <vt:lpstr>Dashboard!comb_rank</vt:lpstr>
      <vt:lpstr>Dashboard!comb_rank_norm</vt:lpstr>
      <vt:lpstr>Dashboard!comb_rank_norm_run_range</vt:lpstr>
      <vt:lpstr>Dashboard!comb_rank_range</vt:lpstr>
      <vt:lpstr>Dashboard!comb_rank_unique</vt:lpstr>
      <vt:lpstr>Dashboard!header_row_id</vt:lpstr>
      <vt:lpstr>Dashboard!is_cat</vt:lpstr>
      <vt:lpstr>Dashboard!is_empty</vt:lpstr>
      <vt:lpstr>Dashboard!is_header</vt:lpstr>
      <vt:lpstr>Dashboard!is_total</vt:lpstr>
      <vt:lpstr>Dashboard!item</vt:lpstr>
      <vt:lpstr>Dashboard!out_budget</vt:lpstr>
      <vt:lpstr>Dashboard!out_percentage_completed</vt:lpstr>
      <vt:lpstr>Dashboard!out_tracked</vt:lpstr>
      <vt:lpstr>Dashboard!row_id</vt:lpstr>
      <vt:lpstr>savings_rate_calculation_type</vt:lpstr>
      <vt:lpstr>selected_period</vt:lpstr>
      <vt:lpstr>selected_period_display</vt:lpstr>
      <vt:lpstr>selected_year</vt:lpstr>
      <vt:lpstr>shift_late_income_starting_day</vt:lpstr>
      <vt:lpstr>shift_late_income_status</vt:lpstr>
      <vt:lpstr>Dashboard!sort_max_row</vt:lpstr>
      <vt:lpstr>Dashboard!sort_min_row</vt:lpstr>
      <vt:lpstr>starting_year</vt:lpstr>
      <vt:lpstr>Dashboard!tracked</vt:lpstr>
      <vt:lpstr>Dashboard!tracked_range</vt:lpstr>
      <vt:lpstr>Dashboard!tracked_rank</vt:lpstr>
      <vt:lpstr>Dashboard!type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2023-08-08T23:01:39Z</dcterms:created>
  <dcterms:modified xsi:type="dcterms:W3CDTF">2023-08-14T05:29:44Z</dcterms:modified>
</cp:coreProperties>
</file>